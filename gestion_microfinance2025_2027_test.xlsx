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23767\Desktop\LELE\microfinance camdvi\"/>
    </mc:Choice>
  </mc:AlternateContent>
  <xr:revisionPtr revIDLastSave="0" documentId="13_ncr:1_{B08161D0-F858-4A3C-8CAF-AC220DDFE9E8}" xr6:coauthVersionLast="47" xr6:coauthVersionMax="47" xr10:uidLastSave="{00000000-0000-0000-0000-000000000000}"/>
  <bookViews>
    <workbookView xWindow="-110" yWindow="-110" windowWidth="19420" windowHeight="10420" firstSheet="5" activeTab="5" xr2:uid="{5D9DE333-EC2A-44B2-AA69-3DB0132DEF62}"/>
  </bookViews>
  <sheets>
    <sheet name="fond_dispo_rep_interet" sheetId="37" state="hidden" r:id="rId1"/>
    <sheet name="epargne_mensuelle_ancien" sheetId="40" state="hidden" r:id="rId2"/>
    <sheet name="epargne_mensuelle_reelle" sheetId="41" state="hidden" r:id="rId3"/>
    <sheet name="apport_mensuel_calcul" sheetId="56" r:id="rId4"/>
    <sheet name="Feuil5" sheetId="89" state="hidden" r:id="rId5"/>
    <sheet name="epargne_mensuelle" sheetId="1" r:id="rId6"/>
    <sheet name="cumul_epargne" sheetId="2" r:id="rId7"/>
    <sheet name="recouvrement_dette" sheetId="38" r:id="rId8"/>
    <sheet name="recap_prêt" sheetId="14" r:id="rId9"/>
    <sheet name="Synthese_cassation" sheetId="59" r:id="rId10"/>
    <sheet name="Feuil10" sheetId="66" r:id="rId11"/>
    <sheet name="pret" sheetId="62" r:id="rId12"/>
    <sheet name="_interet" sheetId="61" r:id="rId13"/>
    <sheet name="Feuil3" sheetId="60" state="hidden" r:id="rId14"/>
    <sheet name="Feuil2" sheetId="58" state="hidden" r:id="rId15"/>
    <sheet name="Tableau_amortissement_Franklin" sheetId="103" r:id="rId16"/>
    <sheet name="Tableau_amortissement_Sainclair" sheetId="102" r:id="rId17"/>
    <sheet name="Tableau_amortissement_Narcisse" sheetId="101" r:id="rId18"/>
    <sheet name="Tableau_amortissement_Valdese" sheetId="100" r:id="rId19"/>
    <sheet name="Tableau_amortissement_Sammuel" sheetId="99" r:id="rId20"/>
    <sheet name="Tableau_amortissement_Clemence" sheetId="98" r:id="rId21"/>
    <sheet name="Tableau_amortissement_Michel" sheetId="97" r:id="rId22"/>
    <sheet name="Tableau_amortissement_Kelly" sheetId="96" r:id="rId23"/>
    <sheet name="Tableau_amortissement_Dagober" sheetId="93" r:id="rId24"/>
    <sheet name="Tableau_amortissement_Brice" sheetId="91" r:id="rId25"/>
    <sheet name="Tableau_amortissement_Ricard" sheetId="90" r:id="rId26"/>
    <sheet name="Tableau_amortissement_Tony" sheetId="88" r:id="rId27"/>
    <sheet name="Tableau_amortissement_Moise" sheetId="87" r:id="rId28"/>
    <sheet name="Tableau_amortissement_appol" sheetId="86" r:id="rId29"/>
    <sheet name="Tableau_amortissement_Cheval" sheetId="81" r:id="rId30"/>
    <sheet name="Tableau_amortissement_Rodine" sheetId="95" r:id="rId31"/>
    <sheet name="Tableau_amortissement_Fidel" sheetId="77" r:id="rId32"/>
    <sheet name="Tableau_amortissement_Hernandez" sheetId="70" r:id="rId33"/>
    <sheet name="Tableau_amortissement_Jackson" sheetId="63" r:id="rId34"/>
    <sheet name="Feuil1" sheetId="35" r:id="rId35"/>
    <sheet name="Feuil4" sheetId="4" r:id="rId36"/>
  </sheets>
  <externalReferences>
    <externalReference r:id="rId37"/>
  </externalReferences>
  <definedNames>
    <definedName name="_xlnm.Print_Titles" localSheetId="3">apport_mensuel_calcul!$A:$B,apport_mensuel_calcul!$1:$1</definedName>
    <definedName name="_xlnm.Print_Titles" localSheetId="9">Synthese_cassation!$A:$B,Synthese_cassation!$3:$3</definedName>
    <definedName name="mois" localSheetId="12">Feuil4!#REF!</definedName>
    <definedName name="mois" localSheetId="11">Feuil4!#REF!</definedName>
    <definedName name="mois" localSheetId="7">Feuil4!#REF!</definedName>
    <definedName name="mois">Feuil4!#REF!</definedName>
    <definedName name="mois_bon2">Feuil4!$E$1:$E$100</definedName>
    <definedName name="mois_modif">Feuil4!$E$4:$E$32</definedName>
    <definedName name="nature_credit">[1]tresorerie!$P$8:$P$13</definedName>
    <definedName name="nature_debit">[1]tresorerie!$S$8:$S$13</definedName>
    <definedName name="secteur">Feuil4!$A$1:$A$4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103" l="1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D46" i="103"/>
  <c r="E21" i="103"/>
  <c r="E20" i="103"/>
  <c r="J13" i="103"/>
  <c r="J15" i="103" s="1"/>
  <c r="J17" i="103" s="1"/>
  <c r="O21" i="61"/>
  <c r="H21" i="61"/>
  <c r="G21" i="61"/>
  <c r="G21" i="38"/>
  <c r="H21" i="38" s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C48" i="1"/>
  <c r="E23" i="102"/>
  <c r="E24" i="102"/>
  <c r="E25" i="102"/>
  <c r="C23" i="102"/>
  <c r="C24" i="102"/>
  <c r="C25" i="102"/>
  <c r="E17" i="61"/>
  <c r="F17" i="61"/>
  <c r="G17" i="61"/>
  <c r="G20" i="61"/>
  <c r="N20" i="61" s="1"/>
  <c r="G19" i="61"/>
  <c r="G18" i="61"/>
  <c r="M18" i="61" s="1"/>
  <c r="D26" i="102"/>
  <c r="E21" i="102"/>
  <c r="E20" i="102"/>
  <c r="J13" i="102"/>
  <c r="J15" i="102" s="1"/>
  <c r="J17" i="102" s="1"/>
  <c r="H20" i="61"/>
  <c r="G20" i="38"/>
  <c r="H20" i="38" s="1"/>
  <c r="D34" i="101"/>
  <c r="E21" i="101"/>
  <c r="E20" i="101"/>
  <c r="J13" i="101"/>
  <c r="J15" i="101" s="1"/>
  <c r="J17" i="101" s="1"/>
  <c r="C29" i="101" s="1"/>
  <c r="E29" i="101" s="1"/>
  <c r="D25" i="100"/>
  <c r="E21" i="100"/>
  <c r="E20" i="100"/>
  <c r="J13" i="100"/>
  <c r="J15" i="100" s="1"/>
  <c r="J17" i="100" s="1"/>
  <c r="M19" i="61"/>
  <c r="H4" i="61"/>
  <c r="H5" i="61"/>
  <c r="H6" i="61"/>
  <c r="H7" i="61"/>
  <c r="H8" i="61"/>
  <c r="H9" i="61"/>
  <c r="H10" i="61"/>
  <c r="H11" i="61"/>
  <c r="H12" i="61"/>
  <c r="H13" i="61"/>
  <c r="H14" i="61"/>
  <c r="H15" i="61"/>
  <c r="H16" i="61"/>
  <c r="H17" i="61"/>
  <c r="H19" i="61"/>
  <c r="G19" i="38"/>
  <c r="H19" i="38" s="1"/>
  <c r="G18" i="38"/>
  <c r="H18" i="38" s="1"/>
  <c r="D25" i="99"/>
  <c r="E21" i="99"/>
  <c r="E20" i="99"/>
  <c r="J13" i="99"/>
  <c r="J15" i="99" s="1"/>
  <c r="J17" i="99" s="1"/>
  <c r="D32" i="98"/>
  <c r="E21" i="98"/>
  <c r="E20" i="98"/>
  <c r="J13" i="98"/>
  <c r="J15" i="98" s="1"/>
  <c r="J17" i="98" s="1"/>
  <c r="D40" i="97"/>
  <c r="E21" i="97"/>
  <c r="E20" i="97"/>
  <c r="J13" i="97"/>
  <c r="J15" i="97" s="1"/>
  <c r="J17" i="97" s="1"/>
  <c r="C31" i="97" s="1"/>
  <c r="E31" i="97" s="1"/>
  <c r="L17" i="61"/>
  <c r="L16" i="61"/>
  <c r="L15" i="61"/>
  <c r="B19" i="61"/>
  <c r="B20" i="61"/>
  <c r="B21" i="61"/>
  <c r="B22" i="61"/>
  <c r="B23" i="61"/>
  <c r="B24" i="61"/>
  <c r="B25" i="61"/>
  <c r="B26" i="61"/>
  <c r="B27" i="61"/>
  <c r="B28" i="61"/>
  <c r="B29" i="61"/>
  <c r="B30" i="61"/>
  <c r="B31" i="61"/>
  <c r="B32" i="61"/>
  <c r="B33" i="61"/>
  <c r="B34" i="61"/>
  <c r="B35" i="61"/>
  <c r="B36" i="61"/>
  <c r="B37" i="61"/>
  <c r="B38" i="61"/>
  <c r="B39" i="61"/>
  <c r="B40" i="61"/>
  <c r="B41" i="61"/>
  <c r="B18" i="61"/>
  <c r="B15" i="61"/>
  <c r="B16" i="61"/>
  <c r="B17" i="61"/>
  <c r="C15" i="61"/>
  <c r="D15" i="61"/>
  <c r="E15" i="61"/>
  <c r="F15" i="61"/>
  <c r="G15" i="61"/>
  <c r="C16" i="61"/>
  <c r="D16" i="61"/>
  <c r="E16" i="61"/>
  <c r="F16" i="61"/>
  <c r="G16" i="61"/>
  <c r="C17" i="61"/>
  <c r="D17" i="61"/>
  <c r="D16" i="62"/>
  <c r="E16" i="62"/>
  <c r="F16" i="62"/>
  <c r="D17" i="62"/>
  <c r="E17" i="62"/>
  <c r="F17" i="62"/>
  <c r="E15" i="62"/>
  <c r="F15" i="62"/>
  <c r="C16" i="62"/>
  <c r="C17" i="62"/>
  <c r="C15" i="62"/>
  <c r="D15" i="62"/>
  <c r="G17" i="38"/>
  <c r="H17" i="38" s="1"/>
  <c r="G16" i="38"/>
  <c r="H16" i="38" s="1"/>
  <c r="G15" i="38"/>
  <c r="H15" i="38" s="1"/>
  <c r="E40" i="38"/>
  <c r="H18" i="61" l="1"/>
  <c r="C22" i="102"/>
  <c r="C28" i="101"/>
  <c r="E28" i="101" s="1"/>
  <c r="C30" i="101"/>
  <c r="E30" i="101" s="1"/>
  <c r="C24" i="101"/>
  <c r="E24" i="101" s="1"/>
  <c r="C26" i="101"/>
  <c r="E26" i="101" s="1"/>
  <c r="C33" i="101"/>
  <c r="E33" i="101" s="1"/>
  <c r="C27" i="101"/>
  <c r="E27" i="101" s="1"/>
  <c r="C23" i="101"/>
  <c r="E23" i="101" s="1"/>
  <c r="C32" i="101"/>
  <c r="E32" i="101" s="1"/>
  <c r="C22" i="101"/>
  <c r="C31" i="101"/>
  <c r="E31" i="101" s="1"/>
  <c r="C25" i="101"/>
  <c r="E25" i="101" s="1"/>
  <c r="C22" i="100"/>
  <c r="C24" i="100"/>
  <c r="E24" i="100" s="1"/>
  <c r="C23" i="100"/>
  <c r="E23" i="100" s="1"/>
  <c r="C24" i="99"/>
  <c r="E24" i="99" s="1"/>
  <c r="C23" i="99"/>
  <c r="E23" i="99" s="1"/>
  <c r="C22" i="99"/>
  <c r="C29" i="98"/>
  <c r="E29" i="98" s="1"/>
  <c r="C25" i="98"/>
  <c r="E25" i="98" s="1"/>
  <c r="C28" i="98"/>
  <c r="E28" i="98" s="1"/>
  <c r="C24" i="98"/>
  <c r="E24" i="98" s="1"/>
  <c r="C31" i="98"/>
  <c r="E31" i="98" s="1"/>
  <c r="C27" i="98"/>
  <c r="E27" i="98" s="1"/>
  <c r="C23" i="98"/>
  <c r="E23" i="98" s="1"/>
  <c r="C30" i="98"/>
  <c r="E30" i="98" s="1"/>
  <c r="C26" i="98"/>
  <c r="E26" i="98" s="1"/>
  <c r="C22" i="98"/>
  <c r="C24" i="97"/>
  <c r="E24" i="97" s="1"/>
  <c r="C25" i="97"/>
  <c r="E25" i="97" s="1"/>
  <c r="C29" i="97"/>
  <c r="E29" i="97" s="1"/>
  <c r="C26" i="97"/>
  <c r="E26" i="97" s="1"/>
  <c r="C30" i="97"/>
  <c r="E30" i="97" s="1"/>
  <c r="C27" i="97"/>
  <c r="E27" i="97" s="1"/>
  <c r="C28" i="97"/>
  <c r="E28" i="97" s="1"/>
  <c r="C37" i="97"/>
  <c r="E37" i="97" s="1"/>
  <c r="C33" i="97"/>
  <c r="E33" i="97" s="1"/>
  <c r="C22" i="97"/>
  <c r="C23" i="97"/>
  <c r="E23" i="97" s="1"/>
  <c r="C38" i="97"/>
  <c r="E38" i="97" s="1"/>
  <c r="C36" i="97"/>
  <c r="E36" i="97" s="1"/>
  <c r="C32" i="97"/>
  <c r="E32" i="97" s="1"/>
  <c r="C35" i="97"/>
  <c r="E35" i="97" s="1"/>
  <c r="C34" i="97"/>
  <c r="E34" i="97" s="1"/>
  <c r="C39" i="97"/>
  <c r="E39" i="97" s="1"/>
  <c r="BY48" i="56"/>
  <c r="T48" i="56"/>
  <c r="W48" i="56"/>
  <c r="Z48" i="56"/>
  <c r="AC48" i="56"/>
  <c r="AF48" i="56"/>
  <c r="AI48" i="56"/>
  <c r="AL48" i="56"/>
  <c r="AO48" i="56"/>
  <c r="AR48" i="56"/>
  <c r="AU48" i="56"/>
  <c r="AX48" i="56"/>
  <c r="BA48" i="56"/>
  <c r="BD48" i="56"/>
  <c r="BG48" i="56"/>
  <c r="BJ48" i="56"/>
  <c r="BM48" i="56"/>
  <c r="BP48" i="56"/>
  <c r="BS48" i="56"/>
  <c r="E46" i="103" l="1"/>
  <c r="C46" i="103"/>
  <c r="C26" i="102"/>
  <c r="E22" i="102"/>
  <c r="E26" i="102" s="1"/>
  <c r="C34" i="101"/>
  <c r="E22" i="101"/>
  <c r="E34" i="101" s="1"/>
  <c r="C25" i="100"/>
  <c r="E22" i="100"/>
  <c r="E25" i="100" s="1"/>
  <c r="E22" i="99"/>
  <c r="E25" i="99" s="1"/>
  <c r="C25" i="99"/>
  <c r="C32" i="98"/>
  <c r="E22" i="98"/>
  <c r="E32" i="98" s="1"/>
  <c r="C40" i="97"/>
  <c r="E22" i="97"/>
  <c r="E40" i="97" s="1"/>
  <c r="D32" i="96"/>
  <c r="E21" i="96"/>
  <c r="E20" i="96"/>
  <c r="J13" i="96"/>
  <c r="J15" i="96" s="1"/>
  <c r="J17" i="96" s="1"/>
  <c r="D34" i="95"/>
  <c r="E21" i="95"/>
  <c r="E20" i="95"/>
  <c r="J13" i="95"/>
  <c r="J15" i="95" s="1"/>
  <c r="J17" i="95" s="1"/>
  <c r="E34" i="93"/>
  <c r="C34" i="93"/>
  <c r="C22" i="93"/>
  <c r="C23" i="93"/>
  <c r="C24" i="93"/>
  <c r="C25" i="93"/>
  <c r="C26" i="93"/>
  <c r="E26" i="93" s="1"/>
  <c r="C32" i="93"/>
  <c r="E32" i="93" s="1"/>
  <c r="E20" i="93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G4" i="61"/>
  <c r="G5" i="61"/>
  <c r="G6" i="61"/>
  <c r="G7" i="61"/>
  <c r="G8" i="61"/>
  <c r="G9" i="61"/>
  <c r="J9" i="61" s="1"/>
  <c r="G10" i="61"/>
  <c r="J10" i="61" s="1"/>
  <c r="G11" i="61"/>
  <c r="J11" i="61" s="1"/>
  <c r="G12" i="61"/>
  <c r="G13" i="61"/>
  <c r="J13" i="61" s="1"/>
  <c r="G14" i="61"/>
  <c r="G3" i="61"/>
  <c r="J3" i="61" s="1"/>
  <c r="J4" i="61"/>
  <c r="J5" i="61"/>
  <c r="J6" i="61"/>
  <c r="J7" i="61"/>
  <c r="J8" i="61"/>
  <c r="J12" i="61"/>
  <c r="J14" i="61"/>
  <c r="B3" i="61"/>
  <c r="B4" i="61"/>
  <c r="B5" i="61"/>
  <c r="B6" i="61"/>
  <c r="B7" i="61"/>
  <c r="B8" i="61"/>
  <c r="B9" i="61"/>
  <c r="B10" i="61"/>
  <c r="B11" i="61"/>
  <c r="B12" i="61"/>
  <c r="B13" i="61"/>
  <c r="B14" i="61"/>
  <c r="B2" i="61"/>
  <c r="H7" i="14"/>
  <c r="I40" i="38"/>
  <c r="J30" i="14"/>
  <c r="A39" i="59"/>
  <c r="C39" i="59"/>
  <c r="F39" i="59"/>
  <c r="A40" i="59"/>
  <c r="F40" i="59"/>
  <c r="A41" i="59"/>
  <c r="B41" i="59"/>
  <c r="C41" i="59"/>
  <c r="F41" i="59"/>
  <c r="F42" i="59"/>
  <c r="F43" i="59"/>
  <c r="A44" i="59"/>
  <c r="F44" i="59"/>
  <c r="A45" i="59"/>
  <c r="C45" i="59"/>
  <c r="F45" i="59"/>
  <c r="A46" i="59"/>
  <c r="B46" i="59"/>
  <c r="C46" i="59"/>
  <c r="F46" i="59"/>
  <c r="A47" i="59"/>
  <c r="B47" i="59"/>
  <c r="C47" i="59"/>
  <c r="F47" i="59"/>
  <c r="A37" i="56"/>
  <c r="B37" i="56"/>
  <c r="B39" i="59" s="1"/>
  <c r="C37" i="56"/>
  <c r="E37" i="56"/>
  <c r="H37" i="56"/>
  <c r="K37" i="56"/>
  <c r="N37" i="56"/>
  <c r="Q37" i="56"/>
  <c r="T37" i="56"/>
  <c r="W37" i="56"/>
  <c r="Z37" i="56"/>
  <c r="AC37" i="56"/>
  <c r="AF37" i="56"/>
  <c r="AI37" i="56"/>
  <c r="AL37" i="56"/>
  <c r="AO37" i="56"/>
  <c r="AR37" i="56"/>
  <c r="AU37" i="56"/>
  <c r="AX37" i="56"/>
  <c r="BA37" i="56"/>
  <c r="BD37" i="56"/>
  <c r="BG37" i="56"/>
  <c r="BJ37" i="56"/>
  <c r="BM37" i="56"/>
  <c r="BP37" i="56"/>
  <c r="BS37" i="56"/>
  <c r="BV37" i="56"/>
  <c r="A38" i="56"/>
  <c r="B38" i="56"/>
  <c r="B40" i="59" s="1"/>
  <c r="C38" i="56"/>
  <c r="E38" i="56"/>
  <c r="H38" i="56"/>
  <c r="K38" i="56"/>
  <c r="N38" i="56"/>
  <c r="Q38" i="56"/>
  <c r="T38" i="56"/>
  <c r="W38" i="56"/>
  <c r="Z38" i="56"/>
  <c r="AC38" i="56"/>
  <c r="AF38" i="56"/>
  <c r="AI38" i="56"/>
  <c r="AL38" i="56"/>
  <c r="AO38" i="56"/>
  <c r="AR38" i="56"/>
  <c r="AU38" i="56"/>
  <c r="AX38" i="56"/>
  <c r="BA38" i="56"/>
  <c r="BD38" i="56"/>
  <c r="BG38" i="56"/>
  <c r="BJ38" i="56"/>
  <c r="BM38" i="56"/>
  <c r="BP38" i="56"/>
  <c r="BS38" i="56"/>
  <c r="A39" i="56"/>
  <c r="B39" i="56"/>
  <c r="CD39" i="56" s="1"/>
  <c r="C39" i="56"/>
  <c r="E39" i="56"/>
  <c r="H39" i="56"/>
  <c r="K39" i="56"/>
  <c r="N39" i="56"/>
  <c r="Q39" i="56"/>
  <c r="T39" i="56"/>
  <c r="W39" i="56"/>
  <c r="Z39" i="56"/>
  <c r="AC39" i="56"/>
  <c r="AF39" i="56"/>
  <c r="AI39" i="56"/>
  <c r="AL39" i="56"/>
  <c r="AO39" i="56"/>
  <c r="AR39" i="56"/>
  <c r="AU39" i="56"/>
  <c r="AX39" i="56"/>
  <c r="BA39" i="56"/>
  <c r="BD39" i="56"/>
  <c r="BG39" i="56"/>
  <c r="BJ39" i="56"/>
  <c r="BM39" i="56"/>
  <c r="BP39" i="56"/>
  <c r="BS39" i="56"/>
  <c r="BV39" i="56"/>
  <c r="A40" i="56"/>
  <c r="A42" i="59" s="1"/>
  <c r="B40" i="56"/>
  <c r="B42" i="59" s="1"/>
  <c r="C40" i="56"/>
  <c r="E40" i="56"/>
  <c r="H40" i="56"/>
  <c r="K40" i="56"/>
  <c r="N40" i="56"/>
  <c r="Q40" i="56"/>
  <c r="T40" i="56"/>
  <c r="W40" i="56"/>
  <c r="Z40" i="56"/>
  <c r="AC40" i="56"/>
  <c r="AF40" i="56"/>
  <c r="AI40" i="56"/>
  <c r="AL40" i="56"/>
  <c r="AO40" i="56"/>
  <c r="AR40" i="56"/>
  <c r="AU40" i="56"/>
  <c r="AX40" i="56"/>
  <c r="BA40" i="56"/>
  <c r="BD40" i="56"/>
  <c r="BG40" i="56"/>
  <c r="BJ40" i="56"/>
  <c r="BM40" i="56"/>
  <c r="BP40" i="56"/>
  <c r="BS40" i="56"/>
  <c r="A41" i="56"/>
  <c r="A43" i="59" s="1"/>
  <c r="B41" i="56"/>
  <c r="B43" i="59" s="1"/>
  <c r="C41" i="56"/>
  <c r="C48" i="56" s="1"/>
  <c r="E41" i="56"/>
  <c r="H41" i="56"/>
  <c r="K41" i="56"/>
  <c r="N41" i="56"/>
  <c r="Q41" i="56"/>
  <c r="T41" i="56"/>
  <c r="W41" i="56"/>
  <c r="Z41" i="56"/>
  <c r="AC41" i="56"/>
  <c r="AF41" i="56"/>
  <c r="AI41" i="56"/>
  <c r="AL41" i="56"/>
  <c r="AO41" i="56"/>
  <c r="AR41" i="56"/>
  <c r="AU41" i="56"/>
  <c r="AX41" i="56"/>
  <c r="BA41" i="56"/>
  <c r="BD41" i="56"/>
  <c r="BG41" i="56"/>
  <c r="BJ41" i="56"/>
  <c r="BM41" i="56"/>
  <c r="BP41" i="56"/>
  <c r="BS41" i="56"/>
  <c r="CD41" i="56"/>
  <c r="A42" i="56"/>
  <c r="B42" i="56"/>
  <c r="B44" i="59" s="1"/>
  <c r="C42" i="56"/>
  <c r="E42" i="56"/>
  <c r="H42" i="56"/>
  <c r="K42" i="56"/>
  <c r="N42" i="56"/>
  <c r="Q42" i="56"/>
  <c r="T42" i="56"/>
  <c r="W42" i="56"/>
  <c r="Z42" i="56"/>
  <c r="AC42" i="56"/>
  <c r="AF42" i="56"/>
  <c r="AI42" i="56"/>
  <c r="AL42" i="56"/>
  <c r="AO42" i="56"/>
  <c r="AR42" i="56"/>
  <c r="AU42" i="56"/>
  <c r="AX42" i="56"/>
  <c r="BA42" i="56"/>
  <c r="BD42" i="56"/>
  <c r="BG42" i="56"/>
  <c r="BJ42" i="56"/>
  <c r="BM42" i="56"/>
  <c r="BP42" i="56"/>
  <c r="BS42" i="56"/>
  <c r="A43" i="56"/>
  <c r="B43" i="56"/>
  <c r="CD43" i="56" s="1"/>
  <c r="C43" i="56"/>
  <c r="E43" i="56"/>
  <c r="H43" i="56"/>
  <c r="K43" i="56"/>
  <c r="N43" i="56"/>
  <c r="Q43" i="56"/>
  <c r="T43" i="56"/>
  <c r="W43" i="56"/>
  <c r="Z43" i="56"/>
  <c r="AC43" i="56"/>
  <c r="AF43" i="56"/>
  <c r="AI43" i="56"/>
  <c r="AL43" i="56"/>
  <c r="AO43" i="56"/>
  <c r="AR43" i="56"/>
  <c r="AU43" i="56"/>
  <c r="AX43" i="56"/>
  <c r="BA43" i="56"/>
  <c r="BD43" i="56"/>
  <c r="BG43" i="56"/>
  <c r="BJ43" i="56"/>
  <c r="BM43" i="56"/>
  <c r="BP43" i="56"/>
  <c r="BS43" i="56"/>
  <c r="BV43" i="56"/>
  <c r="A44" i="56"/>
  <c r="B44" i="56"/>
  <c r="C44" i="56"/>
  <c r="E44" i="56"/>
  <c r="H44" i="56"/>
  <c r="K44" i="56"/>
  <c r="N44" i="56"/>
  <c r="Q44" i="56"/>
  <c r="T44" i="56"/>
  <c r="W44" i="56"/>
  <c r="Z44" i="56"/>
  <c r="AC44" i="56"/>
  <c r="AF44" i="56"/>
  <c r="AI44" i="56"/>
  <c r="AL44" i="56"/>
  <c r="AO44" i="56"/>
  <c r="AR44" i="56"/>
  <c r="AU44" i="56"/>
  <c r="AX44" i="56"/>
  <c r="BA44" i="56"/>
  <c r="BD44" i="56"/>
  <c r="BG44" i="56"/>
  <c r="BJ44" i="56"/>
  <c r="BM44" i="56"/>
  <c r="BP44" i="56"/>
  <c r="BS44" i="56"/>
  <c r="BV44" i="56"/>
  <c r="CA44" i="56"/>
  <c r="H46" i="59" s="1"/>
  <c r="CD44" i="56"/>
  <c r="A45" i="56"/>
  <c r="B45" i="56"/>
  <c r="C45" i="56"/>
  <c r="E45" i="56"/>
  <c r="H45" i="56"/>
  <c r="K45" i="56"/>
  <c r="N45" i="56"/>
  <c r="Q45" i="56"/>
  <c r="T45" i="56"/>
  <c r="W45" i="56"/>
  <c r="Z45" i="56"/>
  <c r="AC45" i="56"/>
  <c r="AF45" i="56"/>
  <c r="AI45" i="56"/>
  <c r="AL45" i="56"/>
  <c r="AO45" i="56"/>
  <c r="AR45" i="56"/>
  <c r="AU45" i="56"/>
  <c r="AX45" i="56"/>
  <c r="BA45" i="56"/>
  <c r="BD45" i="56"/>
  <c r="BG45" i="56"/>
  <c r="BJ45" i="56"/>
  <c r="BM45" i="56"/>
  <c r="BP45" i="56"/>
  <c r="BS45" i="56"/>
  <c r="BV45" i="56"/>
  <c r="CA45" i="56"/>
  <c r="H47" i="59" s="1"/>
  <c r="CD45" i="56"/>
  <c r="A46" i="56"/>
  <c r="B46" i="56"/>
  <c r="C46" i="56"/>
  <c r="E46" i="56"/>
  <c r="H46" i="56"/>
  <c r="K46" i="56"/>
  <c r="N46" i="56"/>
  <c r="Q46" i="56"/>
  <c r="T46" i="56"/>
  <c r="W46" i="56"/>
  <c r="Z46" i="56"/>
  <c r="AC46" i="56"/>
  <c r="AF46" i="56"/>
  <c r="AI46" i="56"/>
  <c r="AL46" i="56"/>
  <c r="AO46" i="56"/>
  <c r="AR46" i="56"/>
  <c r="AU46" i="56"/>
  <c r="AX46" i="56"/>
  <c r="BA46" i="56"/>
  <c r="BD46" i="56"/>
  <c r="BG46" i="56"/>
  <c r="BJ46" i="56"/>
  <c r="BM46" i="56"/>
  <c r="BP46" i="56"/>
  <c r="BS46" i="56"/>
  <c r="BV46" i="56"/>
  <c r="CA46" i="56"/>
  <c r="CD46" i="56"/>
  <c r="A47" i="56"/>
  <c r="B47" i="56"/>
  <c r="CD47" i="56" s="1"/>
  <c r="C47" i="56"/>
  <c r="E47" i="56"/>
  <c r="H47" i="56"/>
  <c r="K47" i="56"/>
  <c r="N47" i="56"/>
  <c r="Q47" i="56"/>
  <c r="T47" i="56"/>
  <c r="W47" i="56"/>
  <c r="Z47" i="56"/>
  <c r="AC47" i="56"/>
  <c r="AF47" i="56"/>
  <c r="AI47" i="56"/>
  <c r="AL47" i="56"/>
  <c r="AO47" i="56"/>
  <c r="AR47" i="56"/>
  <c r="AU47" i="56"/>
  <c r="AX47" i="56"/>
  <c r="BA47" i="56"/>
  <c r="BD47" i="56"/>
  <c r="BG47" i="56"/>
  <c r="BJ47" i="56"/>
  <c r="BM47" i="56"/>
  <c r="BP47" i="56"/>
  <c r="BS47" i="56"/>
  <c r="BV47" i="56"/>
  <c r="CA47" i="56"/>
  <c r="G3" i="38"/>
  <c r="H3" i="38" s="1"/>
  <c r="K8" i="14"/>
  <c r="H8" i="14"/>
  <c r="D8" i="14"/>
  <c r="C8" i="14"/>
  <c r="A40" i="2"/>
  <c r="C40" i="2" s="1"/>
  <c r="BV40" i="56" s="1"/>
  <c r="B40" i="2"/>
  <c r="A41" i="2"/>
  <c r="C41" i="2" s="1"/>
  <c r="BV41" i="56" s="1"/>
  <c r="B41" i="2"/>
  <c r="A42" i="2"/>
  <c r="C42" i="2" s="1"/>
  <c r="BV42" i="56" s="1"/>
  <c r="C44" i="59" s="1"/>
  <c r="B42" i="2"/>
  <c r="A43" i="2"/>
  <c r="B43" i="2"/>
  <c r="C43" i="2"/>
  <c r="A44" i="2"/>
  <c r="B44" i="2"/>
  <c r="C44" i="2"/>
  <c r="A45" i="2"/>
  <c r="C45" i="2" s="1"/>
  <c r="B45" i="2"/>
  <c r="A46" i="2"/>
  <c r="C46" i="2" s="1"/>
  <c r="B46" i="2"/>
  <c r="A47" i="2"/>
  <c r="B47" i="2"/>
  <c r="C47" i="2"/>
  <c r="A3" i="2"/>
  <c r="C3" i="2" s="1"/>
  <c r="B3" i="2"/>
  <c r="A4" i="2"/>
  <c r="C4" i="2" s="1"/>
  <c r="B4" i="2"/>
  <c r="A5" i="2"/>
  <c r="C5" i="2" s="1"/>
  <c r="B5" i="2"/>
  <c r="A6" i="2"/>
  <c r="C6" i="2" s="1"/>
  <c r="B6" i="2"/>
  <c r="A7" i="2"/>
  <c r="C7" i="2" s="1"/>
  <c r="B7" i="2"/>
  <c r="A8" i="2"/>
  <c r="C8" i="2" s="1"/>
  <c r="B8" i="2"/>
  <c r="A9" i="2"/>
  <c r="C9" i="2" s="1"/>
  <c r="B9" i="2"/>
  <c r="A10" i="2"/>
  <c r="C10" i="2" s="1"/>
  <c r="B10" i="2"/>
  <c r="A11" i="2"/>
  <c r="C11" i="2" s="1"/>
  <c r="B11" i="2"/>
  <c r="A12" i="2"/>
  <c r="C12" i="2" s="1"/>
  <c r="B12" i="2"/>
  <c r="A13" i="2"/>
  <c r="C13" i="2" s="1"/>
  <c r="B13" i="2"/>
  <c r="A14" i="2"/>
  <c r="C14" i="2" s="1"/>
  <c r="B14" i="2"/>
  <c r="A15" i="2"/>
  <c r="C15" i="2" s="1"/>
  <c r="B15" i="2"/>
  <c r="A16" i="2"/>
  <c r="C16" i="2" s="1"/>
  <c r="B16" i="2"/>
  <c r="A17" i="2"/>
  <c r="C17" i="2" s="1"/>
  <c r="B17" i="2"/>
  <c r="A18" i="2"/>
  <c r="C18" i="2" s="1"/>
  <c r="B18" i="2"/>
  <c r="A19" i="2"/>
  <c r="C19" i="2" s="1"/>
  <c r="B19" i="2"/>
  <c r="A20" i="2"/>
  <c r="C20" i="2" s="1"/>
  <c r="B20" i="2"/>
  <c r="A21" i="2"/>
  <c r="C21" i="2" s="1"/>
  <c r="B21" i="2"/>
  <c r="A22" i="2"/>
  <c r="C22" i="2" s="1"/>
  <c r="B22" i="2"/>
  <c r="A23" i="2"/>
  <c r="C23" i="2" s="1"/>
  <c r="B23" i="2"/>
  <c r="A24" i="2"/>
  <c r="C24" i="2" s="1"/>
  <c r="B24" i="2"/>
  <c r="A25" i="2"/>
  <c r="C25" i="2" s="1"/>
  <c r="B25" i="2"/>
  <c r="A26" i="2"/>
  <c r="C26" i="2" s="1"/>
  <c r="B26" i="2"/>
  <c r="A27" i="2"/>
  <c r="C27" i="2" s="1"/>
  <c r="B27" i="2"/>
  <c r="A28" i="2"/>
  <c r="C28" i="2" s="1"/>
  <c r="B28" i="2"/>
  <c r="A29" i="2"/>
  <c r="C29" i="2" s="1"/>
  <c r="B29" i="2"/>
  <c r="A30" i="2"/>
  <c r="C30" i="2" s="1"/>
  <c r="B30" i="2"/>
  <c r="A31" i="2"/>
  <c r="C31" i="2" s="1"/>
  <c r="B31" i="2"/>
  <c r="A32" i="2"/>
  <c r="C32" i="2" s="1"/>
  <c r="B32" i="2"/>
  <c r="A33" i="2"/>
  <c r="C33" i="2" s="1"/>
  <c r="B33" i="2"/>
  <c r="A34" i="2"/>
  <c r="C34" i="2" s="1"/>
  <c r="B34" i="2"/>
  <c r="A35" i="2"/>
  <c r="C35" i="2" s="1"/>
  <c r="B35" i="2"/>
  <c r="A36" i="2"/>
  <c r="C36" i="2" s="1"/>
  <c r="B36" i="2"/>
  <c r="A37" i="2"/>
  <c r="C37" i="2" s="1"/>
  <c r="B37" i="2"/>
  <c r="A38" i="2"/>
  <c r="C38" i="2" s="1"/>
  <c r="BV38" i="56" s="1"/>
  <c r="C40" i="59" s="1"/>
  <c r="B38" i="2"/>
  <c r="A39" i="2"/>
  <c r="C39" i="2" s="1"/>
  <c r="B39" i="2"/>
  <c r="F4" i="59"/>
  <c r="F5" i="59"/>
  <c r="F6" i="59"/>
  <c r="F7" i="59"/>
  <c r="F8" i="59"/>
  <c r="F9" i="59"/>
  <c r="F10" i="59"/>
  <c r="F11" i="59"/>
  <c r="F12" i="59"/>
  <c r="F13" i="59"/>
  <c r="F14" i="59"/>
  <c r="F15" i="59"/>
  <c r="F16" i="59"/>
  <c r="F17" i="59"/>
  <c r="F18" i="59"/>
  <c r="F19" i="59"/>
  <c r="F20" i="59"/>
  <c r="F21" i="59"/>
  <c r="F22" i="59"/>
  <c r="F23" i="59"/>
  <c r="F24" i="59"/>
  <c r="F25" i="59"/>
  <c r="F26" i="59"/>
  <c r="F27" i="59"/>
  <c r="F28" i="59"/>
  <c r="F29" i="59"/>
  <c r="F30" i="59"/>
  <c r="F31" i="59"/>
  <c r="F32" i="59"/>
  <c r="F33" i="59"/>
  <c r="F34" i="59"/>
  <c r="F35" i="59"/>
  <c r="F36" i="59"/>
  <c r="AG40" i="38"/>
  <c r="K44" i="14"/>
  <c r="H44" i="14"/>
  <c r="D44" i="14"/>
  <c r="C44" i="14"/>
  <c r="B44" i="14"/>
  <c r="A44" i="14"/>
  <c r="G39" i="62"/>
  <c r="H39" i="62" s="1"/>
  <c r="B39" i="62"/>
  <c r="B32" i="14"/>
  <c r="B33" i="14"/>
  <c r="B34" i="14"/>
  <c r="A32" i="14"/>
  <c r="A33" i="14"/>
  <c r="A34" i="14"/>
  <c r="K43" i="14"/>
  <c r="H43" i="14"/>
  <c r="D43" i="14"/>
  <c r="C43" i="14"/>
  <c r="B43" i="14"/>
  <c r="A43" i="14"/>
  <c r="K42" i="14"/>
  <c r="H42" i="14"/>
  <c r="D42" i="14"/>
  <c r="C42" i="14"/>
  <c r="B42" i="14"/>
  <c r="A42" i="14"/>
  <c r="K41" i="14"/>
  <c r="H41" i="14"/>
  <c r="E41" i="14"/>
  <c r="D41" i="14"/>
  <c r="C41" i="14"/>
  <c r="B41" i="14"/>
  <c r="A41" i="14"/>
  <c r="G38" i="62"/>
  <c r="H38" i="62" s="1"/>
  <c r="B38" i="62"/>
  <c r="G37" i="62"/>
  <c r="H37" i="62" s="1"/>
  <c r="B37" i="62"/>
  <c r="G36" i="62"/>
  <c r="H36" i="62" s="1"/>
  <c r="B36" i="62"/>
  <c r="K40" i="14"/>
  <c r="H40" i="14"/>
  <c r="D40" i="14"/>
  <c r="C40" i="14"/>
  <c r="B40" i="14"/>
  <c r="A40" i="14"/>
  <c r="G35" i="62"/>
  <c r="H35" i="62" s="1"/>
  <c r="B35" i="62"/>
  <c r="K39" i="14"/>
  <c r="H39" i="14"/>
  <c r="D39" i="14"/>
  <c r="C39" i="14"/>
  <c r="B39" i="14"/>
  <c r="A39" i="14"/>
  <c r="K38" i="14"/>
  <c r="H38" i="14"/>
  <c r="D38" i="14"/>
  <c r="C38" i="14"/>
  <c r="B38" i="14"/>
  <c r="A38" i="14"/>
  <c r="K37" i="14"/>
  <c r="H37" i="14"/>
  <c r="D37" i="14"/>
  <c r="C37" i="14"/>
  <c r="B37" i="14"/>
  <c r="A37" i="14"/>
  <c r="D34" i="93"/>
  <c r="J13" i="93"/>
  <c r="J15" i="93" s="1"/>
  <c r="J17" i="93" s="1"/>
  <c r="C29" i="93" s="1"/>
  <c r="E29" i="93" s="1"/>
  <c r="G34" i="62"/>
  <c r="H34" i="62" s="1"/>
  <c r="B34" i="62"/>
  <c r="G33" i="62"/>
  <c r="H33" i="62" s="1"/>
  <c r="B33" i="62"/>
  <c r="G32" i="62"/>
  <c r="H32" i="62" s="1"/>
  <c r="B32" i="62"/>
  <c r="J13" i="91"/>
  <c r="J15" i="91" s="1"/>
  <c r="J17" i="91" s="1"/>
  <c r="D34" i="91"/>
  <c r="E21" i="91"/>
  <c r="E20" i="91"/>
  <c r="D34" i="90"/>
  <c r="E20" i="90"/>
  <c r="J13" i="90"/>
  <c r="J15" i="90" s="1"/>
  <c r="J17" i="90" s="1"/>
  <c r="C32" i="90" s="1"/>
  <c r="E32" i="90" s="1"/>
  <c r="K36" i="14"/>
  <c r="H36" i="14"/>
  <c r="D36" i="14"/>
  <c r="C36" i="14"/>
  <c r="B36" i="14"/>
  <c r="A36" i="14"/>
  <c r="K35" i="14"/>
  <c r="H35" i="14"/>
  <c r="D35" i="14"/>
  <c r="C35" i="14"/>
  <c r="B35" i="14"/>
  <c r="A35" i="14"/>
  <c r="K34" i="14"/>
  <c r="H34" i="14"/>
  <c r="D34" i="14"/>
  <c r="C34" i="14"/>
  <c r="G31" i="62"/>
  <c r="H31" i="62" s="1"/>
  <c r="B31" i="62"/>
  <c r="G30" i="62"/>
  <c r="H30" i="62" s="1"/>
  <c r="B30" i="62"/>
  <c r="G29" i="62"/>
  <c r="H29" i="62" s="1"/>
  <c r="B29" i="62"/>
  <c r="CD37" i="56" l="1"/>
  <c r="CD42" i="56"/>
  <c r="B45" i="59"/>
  <c r="C43" i="59"/>
  <c r="CD38" i="56"/>
  <c r="CD40" i="56"/>
  <c r="C42" i="59"/>
  <c r="E8" i="14"/>
  <c r="C31" i="96"/>
  <c r="E31" i="96" s="1"/>
  <c r="C30" i="96"/>
  <c r="E30" i="96" s="1"/>
  <c r="C26" i="96"/>
  <c r="E26" i="96" s="1"/>
  <c r="C22" i="96"/>
  <c r="C27" i="96"/>
  <c r="E27" i="96" s="1"/>
  <c r="C29" i="96"/>
  <c r="E29" i="96" s="1"/>
  <c r="C25" i="96"/>
  <c r="E25" i="96" s="1"/>
  <c r="C23" i="96"/>
  <c r="E23" i="96" s="1"/>
  <c r="C28" i="96"/>
  <c r="E28" i="96" s="1"/>
  <c r="C24" i="96"/>
  <c r="E24" i="96" s="1"/>
  <c r="C27" i="95"/>
  <c r="E27" i="95" s="1"/>
  <c r="C30" i="95"/>
  <c r="E30" i="95" s="1"/>
  <c r="C26" i="95"/>
  <c r="E26" i="95" s="1"/>
  <c r="C22" i="95"/>
  <c r="C33" i="95"/>
  <c r="E33" i="95" s="1"/>
  <c r="C29" i="95"/>
  <c r="E29" i="95" s="1"/>
  <c r="C25" i="95"/>
  <c r="E25" i="95" s="1"/>
  <c r="C31" i="95"/>
  <c r="E31" i="95" s="1"/>
  <c r="C32" i="95"/>
  <c r="E32" i="95" s="1"/>
  <c r="C28" i="95"/>
  <c r="E28" i="95" s="1"/>
  <c r="C24" i="95"/>
  <c r="E24" i="95" s="1"/>
  <c r="C23" i="95"/>
  <c r="E23" i="95" s="1"/>
  <c r="C24" i="90"/>
  <c r="E24" i="90" s="1"/>
  <c r="C25" i="90"/>
  <c r="E25" i="90" s="1"/>
  <c r="C22" i="90"/>
  <c r="E22" i="90" s="1"/>
  <c r="C26" i="90"/>
  <c r="E26" i="90" s="1"/>
  <c r="C23" i="90"/>
  <c r="E23" i="90" s="1"/>
  <c r="C27" i="90"/>
  <c r="E27" i="90" s="1"/>
  <c r="C30" i="90"/>
  <c r="E30" i="90" s="1"/>
  <c r="C28" i="90"/>
  <c r="E28" i="90" s="1"/>
  <c r="C29" i="90"/>
  <c r="E29" i="90" s="1"/>
  <c r="C24" i="91"/>
  <c r="E24" i="91" s="1"/>
  <c r="C31" i="91"/>
  <c r="E31" i="91" s="1"/>
  <c r="C30" i="91"/>
  <c r="E30" i="91" s="1"/>
  <c r="C22" i="91"/>
  <c r="E22" i="91" s="1"/>
  <c r="C29" i="91"/>
  <c r="E29" i="91" s="1"/>
  <c r="C23" i="91"/>
  <c r="E23" i="91" s="1"/>
  <c r="C31" i="93"/>
  <c r="E31" i="93" s="1"/>
  <c r="E21" i="93"/>
  <c r="E22" i="93"/>
  <c r="E23" i="93"/>
  <c r="E24" i="93"/>
  <c r="E25" i="93"/>
  <c r="C28" i="93"/>
  <c r="E28" i="93" s="1"/>
  <c r="CA43" i="56"/>
  <c r="H45" i="59" s="1"/>
  <c r="F41" i="14"/>
  <c r="G41" i="14" s="1"/>
  <c r="I41" i="14" s="1"/>
  <c r="E43" i="14"/>
  <c r="F43" i="14" s="1"/>
  <c r="G43" i="14" s="1"/>
  <c r="E42" i="14"/>
  <c r="F42" i="14" s="1"/>
  <c r="G42" i="14" s="1"/>
  <c r="E44" i="14"/>
  <c r="F44" i="14" s="1"/>
  <c r="G44" i="14" s="1"/>
  <c r="J44" i="14" s="1"/>
  <c r="E38" i="14"/>
  <c r="F38" i="14" s="1"/>
  <c r="G38" i="14" s="1"/>
  <c r="E37" i="14"/>
  <c r="E34" i="14"/>
  <c r="F34" i="14" s="1"/>
  <c r="G34" i="14" s="1"/>
  <c r="F37" i="14"/>
  <c r="G37" i="14" s="1"/>
  <c r="J37" i="14" s="1"/>
  <c r="E40" i="14"/>
  <c r="F40" i="14" s="1"/>
  <c r="G40" i="14" s="1"/>
  <c r="I40" i="14" s="1"/>
  <c r="E39" i="14"/>
  <c r="F39" i="14" s="1"/>
  <c r="C27" i="93"/>
  <c r="E27" i="93" s="1"/>
  <c r="C30" i="93"/>
  <c r="E30" i="93" s="1"/>
  <c r="C33" i="93"/>
  <c r="E33" i="93" s="1"/>
  <c r="E35" i="14"/>
  <c r="F35" i="14" s="1"/>
  <c r="G35" i="14" s="1"/>
  <c r="J35" i="14" s="1"/>
  <c r="C28" i="91"/>
  <c r="E28" i="91" s="1"/>
  <c r="C27" i="91"/>
  <c r="E27" i="91" s="1"/>
  <c r="C33" i="91"/>
  <c r="E33" i="91" s="1"/>
  <c r="C26" i="91"/>
  <c r="E26" i="91" s="1"/>
  <c r="C32" i="91"/>
  <c r="E32" i="91" s="1"/>
  <c r="C25" i="91"/>
  <c r="C33" i="90"/>
  <c r="E33" i="90" s="1"/>
  <c r="C31" i="90"/>
  <c r="E31" i="90" s="1"/>
  <c r="E36" i="14"/>
  <c r="F36" i="14" s="1"/>
  <c r="E22" i="96" l="1"/>
  <c r="E32" i="96" s="1"/>
  <c r="C32" i="96"/>
  <c r="E22" i="95"/>
  <c r="E34" i="95" s="1"/>
  <c r="C34" i="95"/>
  <c r="I42" i="14"/>
  <c r="J42" i="14"/>
  <c r="J41" i="14"/>
  <c r="I44" i="14"/>
  <c r="J40" i="14"/>
  <c r="J34" i="14"/>
  <c r="I34" i="14"/>
  <c r="J43" i="14"/>
  <c r="I43" i="14"/>
  <c r="I37" i="14"/>
  <c r="G39" i="14"/>
  <c r="I39" i="14" s="1"/>
  <c r="J38" i="14"/>
  <c r="I38" i="14"/>
  <c r="C34" i="91"/>
  <c r="E25" i="91"/>
  <c r="E34" i="91" s="1"/>
  <c r="C34" i="90"/>
  <c r="E21" i="90"/>
  <c r="E34" i="90" s="1"/>
  <c r="G36" i="14"/>
  <c r="I35" i="14"/>
  <c r="J39" i="14" l="1"/>
  <c r="J36" i="14"/>
  <c r="I36" i="14"/>
  <c r="C30" i="14" l="1"/>
  <c r="K33" i="14"/>
  <c r="H33" i="14"/>
  <c r="D33" i="14"/>
  <c r="C33" i="14"/>
  <c r="D34" i="88"/>
  <c r="E21" i="88"/>
  <c r="E20" i="88"/>
  <c r="J13" i="88"/>
  <c r="J15" i="88" s="1"/>
  <c r="J17" i="88" s="1"/>
  <c r="Y40" i="38"/>
  <c r="G28" i="62"/>
  <c r="H28" i="62" s="1"/>
  <c r="B28" i="62"/>
  <c r="K32" i="14"/>
  <c r="D32" i="14"/>
  <c r="C32" i="14"/>
  <c r="K31" i="14"/>
  <c r="H31" i="14"/>
  <c r="D31" i="14"/>
  <c r="C31" i="14"/>
  <c r="B31" i="14"/>
  <c r="A31" i="14"/>
  <c r="G27" i="62"/>
  <c r="H27" i="62" s="1"/>
  <c r="B27" i="62"/>
  <c r="G26" i="62"/>
  <c r="H26" i="62" s="1"/>
  <c r="B26" i="62"/>
  <c r="D31" i="87"/>
  <c r="E21" i="87"/>
  <c r="E20" i="87"/>
  <c r="J13" i="87"/>
  <c r="J15" i="87" s="1"/>
  <c r="J17" i="87" s="1"/>
  <c r="D46" i="86"/>
  <c r="E21" i="86"/>
  <c r="E20" i="86"/>
  <c r="J13" i="86"/>
  <c r="J15" i="86" s="1"/>
  <c r="J17" i="86" s="1"/>
  <c r="C44" i="86" s="1"/>
  <c r="E44" i="86" s="1"/>
  <c r="K30" i="14"/>
  <c r="H30" i="14"/>
  <c r="D30" i="14"/>
  <c r="B30" i="14"/>
  <c r="A30" i="14"/>
  <c r="G25" i="62"/>
  <c r="H25" i="62" s="1"/>
  <c r="B25" i="62"/>
  <c r="K29" i="14"/>
  <c r="H29" i="14"/>
  <c r="D29" i="14"/>
  <c r="C29" i="14"/>
  <c r="B29" i="14"/>
  <c r="A29" i="14"/>
  <c r="K28" i="14"/>
  <c r="H28" i="14"/>
  <c r="D28" i="14"/>
  <c r="C28" i="14"/>
  <c r="B28" i="14"/>
  <c r="A28" i="14"/>
  <c r="G24" i="62"/>
  <c r="H24" i="62" s="1"/>
  <c r="B24" i="62"/>
  <c r="G23" i="62"/>
  <c r="H23" i="62" s="1"/>
  <c r="B23" i="62"/>
  <c r="K27" i="14"/>
  <c r="D27" i="14"/>
  <c r="C27" i="14"/>
  <c r="B27" i="14"/>
  <c r="A27" i="14"/>
  <c r="G22" i="62"/>
  <c r="H22" i="62" s="1"/>
  <c r="B22" i="62"/>
  <c r="T40" i="38"/>
  <c r="G21" i="62"/>
  <c r="H21" i="62" s="1"/>
  <c r="B21" i="62"/>
  <c r="K26" i="14"/>
  <c r="H26" i="14"/>
  <c r="D26" i="14"/>
  <c r="C26" i="14"/>
  <c r="B26" i="14"/>
  <c r="A26" i="14"/>
  <c r="J40" i="38"/>
  <c r="K40" i="38"/>
  <c r="L40" i="38"/>
  <c r="M40" i="38"/>
  <c r="N40" i="38"/>
  <c r="O40" i="38"/>
  <c r="P40" i="38"/>
  <c r="Q40" i="38"/>
  <c r="R40" i="38"/>
  <c r="S40" i="38"/>
  <c r="U40" i="38"/>
  <c r="V40" i="38"/>
  <c r="W40" i="38"/>
  <c r="Z40" i="38"/>
  <c r="AA40" i="38"/>
  <c r="AB40" i="38"/>
  <c r="AC40" i="38"/>
  <c r="AD40" i="38"/>
  <c r="AE40" i="38"/>
  <c r="AF40" i="38"/>
  <c r="D41" i="81"/>
  <c r="E20" i="81"/>
  <c r="J13" i="81"/>
  <c r="J15" i="81" s="1"/>
  <c r="J17" i="81" s="1"/>
  <c r="K25" i="14"/>
  <c r="H25" i="14"/>
  <c r="D25" i="14"/>
  <c r="C25" i="14"/>
  <c r="B25" i="14"/>
  <c r="A25" i="14"/>
  <c r="G20" i="62"/>
  <c r="H20" i="62" s="1"/>
  <c r="B20" i="62"/>
  <c r="F37" i="59"/>
  <c r="F38" i="59"/>
  <c r="K24" i="14"/>
  <c r="H24" i="14"/>
  <c r="D24" i="14"/>
  <c r="C24" i="14"/>
  <c r="B24" i="14"/>
  <c r="A24" i="14"/>
  <c r="K23" i="14"/>
  <c r="H23" i="14"/>
  <c r="D23" i="14"/>
  <c r="C23" i="14"/>
  <c r="B23" i="14"/>
  <c r="A23" i="14"/>
  <c r="G19" i="62"/>
  <c r="H19" i="62" s="1"/>
  <c r="B19" i="62"/>
  <c r="G18" i="62"/>
  <c r="H18" i="62" s="1"/>
  <c r="B18" i="62"/>
  <c r="D34" i="77"/>
  <c r="E21" i="77"/>
  <c r="E20" i="77"/>
  <c r="J13" i="77"/>
  <c r="J15" i="77" s="1"/>
  <c r="J17" i="77" s="1"/>
  <c r="C26" i="77" s="1"/>
  <c r="E26" i="77" s="1"/>
  <c r="G17" i="62"/>
  <c r="H17" i="62" s="1"/>
  <c r="B17" i="62"/>
  <c r="G16" i="62"/>
  <c r="H16" i="62" s="1"/>
  <c r="B16" i="62"/>
  <c r="K22" i="14"/>
  <c r="H22" i="14"/>
  <c r="D22" i="14"/>
  <c r="C22" i="14"/>
  <c r="B22" i="14"/>
  <c r="A22" i="14"/>
  <c r="K21" i="14"/>
  <c r="H21" i="14"/>
  <c r="D21" i="14"/>
  <c r="C21" i="14"/>
  <c r="B21" i="14"/>
  <c r="A21" i="14"/>
  <c r="G15" i="62"/>
  <c r="H15" i="62" s="1"/>
  <c r="B15" i="62"/>
  <c r="G14" i="62"/>
  <c r="H14" i="62" s="1"/>
  <c r="B14" i="62"/>
  <c r="G14" i="38"/>
  <c r="H14" i="38" s="1"/>
  <c r="K20" i="14"/>
  <c r="H20" i="14"/>
  <c r="D20" i="14"/>
  <c r="C20" i="14"/>
  <c r="B20" i="14"/>
  <c r="A20" i="14"/>
  <c r="K19" i="14"/>
  <c r="D19" i="14"/>
  <c r="C19" i="14"/>
  <c r="B19" i="14"/>
  <c r="A19" i="14"/>
  <c r="A12" i="14"/>
  <c r="K11" i="14"/>
  <c r="K18" i="14"/>
  <c r="H18" i="14"/>
  <c r="D18" i="14"/>
  <c r="C18" i="14"/>
  <c r="B18" i="14"/>
  <c r="A18" i="14"/>
  <c r="W42" i="61"/>
  <c r="Y42" i="61"/>
  <c r="Z42" i="61"/>
  <c r="AA42" i="61"/>
  <c r="AB42" i="61"/>
  <c r="AC42" i="61"/>
  <c r="AD42" i="61"/>
  <c r="AE42" i="61"/>
  <c r="AF42" i="61"/>
  <c r="AG42" i="61"/>
  <c r="I42" i="61"/>
  <c r="J40" i="62"/>
  <c r="K40" i="62"/>
  <c r="L40" i="62"/>
  <c r="M40" i="62"/>
  <c r="N40" i="62"/>
  <c r="O40" i="62"/>
  <c r="P40" i="62"/>
  <c r="Q40" i="62"/>
  <c r="R40" i="62"/>
  <c r="S40" i="62"/>
  <c r="T40" i="62"/>
  <c r="U40" i="62"/>
  <c r="V40" i="62"/>
  <c r="W40" i="62"/>
  <c r="X40" i="62"/>
  <c r="Y40" i="62"/>
  <c r="Z40" i="62"/>
  <c r="AA40" i="62"/>
  <c r="AB40" i="62"/>
  <c r="AC40" i="62"/>
  <c r="AD40" i="62"/>
  <c r="AE40" i="62"/>
  <c r="AF40" i="62"/>
  <c r="AG40" i="62"/>
  <c r="I40" i="62"/>
  <c r="G13" i="62"/>
  <c r="H13" i="62" s="1"/>
  <c r="B13" i="62"/>
  <c r="G13" i="38"/>
  <c r="H13" i="38" s="1"/>
  <c r="A32" i="56"/>
  <c r="A34" i="59" s="1"/>
  <c r="B32" i="56"/>
  <c r="B34" i="59" s="1"/>
  <c r="C32" i="56"/>
  <c r="E32" i="56"/>
  <c r="H32" i="56"/>
  <c r="K32" i="56"/>
  <c r="N32" i="56"/>
  <c r="Q32" i="56"/>
  <c r="T32" i="56"/>
  <c r="W32" i="56"/>
  <c r="Z32" i="56"/>
  <c r="AC32" i="56"/>
  <c r="AF32" i="56"/>
  <c r="AI32" i="56"/>
  <c r="AL32" i="56"/>
  <c r="AO32" i="56"/>
  <c r="AR32" i="56"/>
  <c r="AU32" i="56"/>
  <c r="AX32" i="56"/>
  <c r="BA32" i="56"/>
  <c r="BD32" i="56"/>
  <c r="BG32" i="56"/>
  <c r="BJ32" i="56"/>
  <c r="BM32" i="56"/>
  <c r="BP32" i="56"/>
  <c r="BS32" i="56"/>
  <c r="A33" i="56"/>
  <c r="A35" i="59" s="1"/>
  <c r="B33" i="56"/>
  <c r="C33" i="56"/>
  <c r="E33" i="56"/>
  <c r="H33" i="56"/>
  <c r="K33" i="56"/>
  <c r="N33" i="56"/>
  <c r="Q33" i="56"/>
  <c r="T33" i="56"/>
  <c r="W33" i="56"/>
  <c r="Z33" i="56"/>
  <c r="AC33" i="56"/>
  <c r="AF33" i="56"/>
  <c r="AI33" i="56"/>
  <c r="AL33" i="56"/>
  <c r="AO33" i="56"/>
  <c r="AR33" i="56"/>
  <c r="AU33" i="56"/>
  <c r="AX33" i="56"/>
  <c r="BA33" i="56"/>
  <c r="BD33" i="56"/>
  <c r="BG33" i="56"/>
  <c r="BJ33" i="56"/>
  <c r="BM33" i="56"/>
  <c r="BP33" i="56"/>
  <c r="BS33" i="56"/>
  <c r="A34" i="56"/>
  <c r="A36" i="59" s="1"/>
  <c r="B34" i="56"/>
  <c r="C34" i="56"/>
  <c r="E34" i="56"/>
  <c r="H34" i="56"/>
  <c r="K34" i="56"/>
  <c r="N34" i="56"/>
  <c r="Q34" i="56"/>
  <c r="T34" i="56"/>
  <c r="W34" i="56"/>
  <c r="Z34" i="56"/>
  <c r="AC34" i="56"/>
  <c r="AF34" i="56"/>
  <c r="AI34" i="56"/>
  <c r="AL34" i="56"/>
  <c r="AO34" i="56"/>
  <c r="AR34" i="56"/>
  <c r="AU34" i="56"/>
  <c r="AX34" i="56"/>
  <c r="BA34" i="56"/>
  <c r="BD34" i="56"/>
  <c r="BG34" i="56"/>
  <c r="BJ34" i="56"/>
  <c r="BM34" i="56"/>
  <c r="BP34" i="56"/>
  <c r="BS34" i="56"/>
  <c r="A35" i="56"/>
  <c r="A37" i="59" s="1"/>
  <c r="B35" i="56"/>
  <c r="C35" i="56"/>
  <c r="E35" i="56"/>
  <c r="H35" i="56"/>
  <c r="K35" i="56"/>
  <c r="N35" i="56"/>
  <c r="Q35" i="56"/>
  <c r="T35" i="56"/>
  <c r="W35" i="56"/>
  <c r="Z35" i="56"/>
  <c r="AC35" i="56"/>
  <c r="AF35" i="56"/>
  <c r="AI35" i="56"/>
  <c r="AL35" i="56"/>
  <c r="AO35" i="56"/>
  <c r="AR35" i="56"/>
  <c r="AU35" i="56"/>
  <c r="AX35" i="56"/>
  <c r="BA35" i="56"/>
  <c r="BD35" i="56"/>
  <c r="BG35" i="56"/>
  <c r="BJ35" i="56"/>
  <c r="BM35" i="56"/>
  <c r="BP35" i="56"/>
  <c r="BS35" i="56"/>
  <c r="A36" i="56"/>
  <c r="A38" i="59" s="1"/>
  <c r="B36" i="56"/>
  <c r="C36" i="56"/>
  <c r="E36" i="56"/>
  <c r="H36" i="56"/>
  <c r="K36" i="56"/>
  <c r="N36" i="56"/>
  <c r="Q36" i="56"/>
  <c r="T36" i="56"/>
  <c r="W36" i="56"/>
  <c r="Z36" i="56"/>
  <c r="AC36" i="56"/>
  <c r="AF36" i="56"/>
  <c r="AI36" i="56"/>
  <c r="AL36" i="56"/>
  <c r="AO36" i="56"/>
  <c r="AR36" i="56"/>
  <c r="AU36" i="56"/>
  <c r="AX36" i="56"/>
  <c r="BA36" i="56"/>
  <c r="BD36" i="56"/>
  <c r="BG36" i="56"/>
  <c r="BJ36" i="56"/>
  <c r="BM36" i="56"/>
  <c r="BP36" i="56"/>
  <c r="BS36" i="56"/>
  <c r="A29" i="56"/>
  <c r="A31" i="59" s="1"/>
  <c r="B29" i="56"/>
  <c r="CD29" i="56" s="1"/>
  <c r="C29" i="56"/>
  <c r="E29" i="56"/>
  <c r="H29" i="56"/>
  <c r="K29" i="56"/>
  <c r="N29" i="56"/>
  <c r="Q29" i="56"/>
  <c r="T29" i="56"/>
  <c r="W29" i="56"/>
  <c r="Z29" i="56"/>
  <c r="AC29" i="56"/>
  <c r="AF29" i="56"/>
  <c r="AI29" i="56"/>
  <c r="AL29" i="56"/>
  <c r="AO29" i="56"/>
  <c r="AR29" i="56"/>
  <c r="AU29" i="56"/>
  <c r="AX29" i="56"/>
  <c r="BA29" i="56"/>
  <c r="BD29" i="56"/>
  <c r="BG29" i="56"/>
  <c r="BJ29" i="56"/>
  <c r="BM29" i="56"/>
  <c r="BP29" i="56"/>
  <c r="BS29" i="56"/>
  <c r="A30" i="56"/>
  <c r="A32" i="59" s="1"/>
  <c r="B30" i="56"/>
  <c r="CD30" i="56" s="1"/>
  <c r="C30" i="56"/>
  <c r="E30" i="56"/>
  <c r="H30" i="56"/>
  <c r="K30" i="56"/>
  <c r="N30" i="56"/>
  <c r="Q30" i="56"/>
  <c r="T30" i="56"/>
  <c r="W30" i="56"/>
  <c r="Z30" i="56"/>
  <c r="AC30" i="56"/>
  <c r="AF30" i="56"/>
  <c r="AI30" i="56"/>
  <c r="AL30" i="56"/>
  <c r="AO30" i="56"/>
  <c r="AR30" i="56"/>
  <c r="AU30" i="56"/>
  <c r="AX30" i="56"/>
  <c r="BA30" i="56"/>
  <c r="BD30" i="56"/>
  <c r="BG30" i="56"/>
  <c r="BJ30" i="56"/>
  <c r="BM30" i="56"/>
  <c r="BP30" i="56"/>
  <c r="BS30" i="56"/>
  <c r="A31" i="56"/>
  <c r="A33" i="59" s="1"/>
  <c r="B31" i="56"/>
  <c r="CD31" i="56" s="1"/>
  <c r="C31" i="56"/>
  <c r="E31" i="56"/>
  <c r="H31" i="56"/>
  <c r="K31" i="56"/>
  <c r="N31" i="56"/>
  <c r="Q31" i="56"/>
  <c r="T31" i="56"/>
  <c r="W31" i="56"/>
  <c r="Z31" i="56"/>
  <c r="AC31" i="56"/>
  <c r="AF31" i="56"/>
  <c r="AI31" i="56"/>
  <c r="AL31" i="56"/>
  <c r="AO31" i="56"/>
  <c r="AR31" i="56"/>
  <c r="AU31" i="56"/>
  <c r="AX31" i="56"/>
  <c r="BA31" i="56"/>
  <c r="BD31" i="56"/>
  <c r="BG31" i="56"/>
  <c r="BJ31" i="56"/>
  <c r="BM31" i="56"/>
  <c r="BP31" i="56"/>
  <c r="BS31" i="56"/>
  <c r="N42" i="61"/>
  <c r="G12" i="62"/>
  <c r="H12" i="62" s="1"/>
  <c r="B12" i="62"/>
  <c r="K17" i="14"/>
  <c r="H17" i="14"/>
  <c r="D17" i="14"/>
  <c r="C17" i="14"/>
  <c r="B17" i="14"/>
  <c r="A17" i="14"/>
  <c r="G12" i="38"/>
  <c r="H12" i="38" s="1"/>
  <c r="M42" i="61"/>
  <c r="G11" i="62"/>
  <c r="H11" i="62" s="1"/>
  <c r="B11" i="62"/>
  <c r="K16" i="14"/>
  <c r="H16" i="14"/>
  <c r="D16" i="14"/>
  <c r="C16" i="14"/>
  <c r="B16" i="14"/>
  <c r="A16" i="14"/>
  <c r="G11" i="38"/>
  <c r="H11" i="38" s="1"/>
  <c r="G10" i="62"/>
  <c r="H10" i="62" s="1"/>
  <c r="B10" i="62"/>
  <c r="K15" i="14"/>
  <c r="H15" i="14"/>
  <c r="D15" i="14"/>
  <c r="C15" i="14"/>
  <c r="B15" i="14"/>
  <c r="A15" i="14"/>
  <c r="G10" i="38"/>
  <c r="H10" i="38" s="1"/>
  <c r="L42" i="61"/>
  <c r="D32" i="70"/>
  <c r="J13" i="70"/>
  <c r="J15" i="70" s="1"/>
  <c r="J17" i="70" s="1"/>
  <c r="B5" i="62"/>
  <c r="B6" i="62"/>
  <c r="B7" i="62"/>
  <c r="B8" i="62"/>
  <c r="B9" i="62"/>
  <c r="B4" i="62"/>
  <c r="G9" i="62"/>
  <c r="H9" i="62" s="1"/>
  <c r="G8" i="62"/>
  <c r="H8" i="62" s="1"/>
  <c r="G7" i="62"/>
  <c r="H7" i="62" s="1"/>
  <c r="K14" i="14"/>
  <c r="H14" i="14"/>
  <c r="D14" i="14"/>
  <c r="C14" i="14"/>
  <c r="B14" i="14"/>
  <c r="A14" i="14"/>
  <c r="K13" i="14"/>
  <c r="H13" i="14"/>
  <c r="D13" i="14"/>
  <c r="C13" i="14"/>
  <c r="B13" i="14"/>
  <c r="A13" i="14"/>
  <c r="K12" i="14"/>
  <c r="H12" i="14"/>
  <c r="D12" i="14"/>
  <c r="C12" i="14"/>
  <c r="B12" i="14"/>
  <c r="G7" i="38"/>
  <c r="H7" i="38" s="1"/>
  <c r="G9" i="38"/>
  <c r="H9" i="38" s="1"/>
  <c r="G8" i="38"/>
  <c r="H8" i="38" s="1"/>
  <c r="C2" i="66"/>
  <c r="D32" i="63"/>
  <c r="E21" i="63"/>
  <c r="E20" i="63"/>
  <c r="J13" i="63"/>
  <c r="J15" i="63" s="1"/>
  <c r="J17" i="63" s="1"/>
  <c r="C23" i="63" s="1"/>
  <c r="N25" i="60"/>
  <c r="N26" i="60" s="1"/>
  <c r="N28" i="60" s="1"/>
  <c r="M25" i="60"/>
  <c r="C37" i="81" l="1"/>
  <c r="E37" i="81" s="1"/>
  <c r="C35" i="81"/>
  <c r="E35" i="81" s="1"/>
  <c r="C36" i="81"/>
  <c r="E36" i="81" s="1"/>
  <c r="H40" i="38"/>
  <c r="C23" i="77"/>
  <c r="E23" i="77" s="1"/>
  <c r="C29" i="77"/>
  <c r="E29" i="77" s="1"/>
  <c r="C30" i="77"/>
  <c r="E30" i="77" s="1"/>
  <c r="C22" i="77"/>
  <c r="E22" i="77" s="1"/>
  <c r="C32" i="77"/>
  <c r="E32" i="77" s="1"/>
  <c r="C25" i="77"/>
  <c r="E25" i="77" s="1"/>
  <c r="C27" i="77"/>
  <c r="E27" i="77" s="1"/>
  <c r="C28" i="77"/>
  <c r="E28" i="77" s="1"/>
  <c r="C26" i="81"/>
  <c r="E26" i="81" s="1"/>
  <c r="C33" i="81"/>
  <c r="E33" i="81" s="1"/>
  <c r="C34" i="81"/>
  <c r="E34" i="81" s="1"/>
  <c r="C22" i="86"/>
  <c r="E22" i="86" s="1"/>
  <c r="C28" i="86"/>
  <c r="E28" i="86" s="1"/>
  <c r="C31" i="86"/>
  <c r="E31" i="86" s="1"/>
  <c r="C27" i="86"/>
  <c r="E27" i="86" s="1"/>
  <c r="C23" i="86"/>
  <c r="E23" i="86" s="1"/>
  <c r="C26" i="86"/>
  <c r="E26" i="86" s="1"/>
  <c r="C30" i="86"/>
  <c r="E30" i="86" s="1"/>
  <c r="C25" i="86"/>
  <c r="E25" i="86" s="1"/>
  <c r="C32" i="86"/>
  <c r="E32" i="86" s="1"/>
  <c r="C29" i="86"/>
  <c r="E29" i="86" s="1"/>
  <c r="C24" i="86"/>
  <c r="E24" i="86" s="1"/>
  <c r="C39" i="86"/>
  <c r="E39" i="86" s="1"/>
  <c r="C35" i="86"/>
  <c r="E35" i="86" s="1"/>
  <c r="C34" i="86"/>
  <c r="E34" i="86" s="1"/>
  <c r="C33" i="86"/>
  <c r="E33" i="86" s="1"/>
  <c r="C37" i="86"/>
  <c r="E37" i="86" s="1"/>
  <c r="C36" i="86"/>
  <c r="E36" i="86" s="1"/>
  <c r="C38" i="86"/>
  <c r="E38" i="86" s="1"/>
  <c r="C26" i="87"/>
  <c r="E26" i="87" s="1"/>
  <c r="C24" i="87"/>
  <c r="E24" i="87" s="1"/>
  <c r="C23" i="87"/>
  <c r="E23" i="87" s="1"/>
  <c r="C22" i="87"/>
  <c r="E22" i="87" s="1"/>
  <c r="C27" i="88"/>
  <c r="E27" i="88" s="1"/>
  <c r="C26" i="88"/>
  <c r="E26" i="88" s="1"/>
  <c r="C29" i="88"/>
  <c r="E29" i="88" s="1"/>
  <c r="C28" i="88"/>
  <c r="E28" i="88" s="1"/>
  <c r="H19" i="14"/>
  <c r="CD35" i="56"/>
  <c r="B37" i="59"/>
  <c r="CD34" i="56"/>
  <c r="B36" i="59"/>
  <c r="CD33" i="56"/>
  <c r="B35" i="59"/>
  <c r="CD36" i="56"/>
  <c r="B38" i="59"/>
  <c r="E32" i="14"/>
  <c r="F32" i="14" s="1"/>
  <c r="E26" i="14"/>
  <c r="F26" i="14" s="1"/>
  <c r="E30" i="14"/>
  <c r="F30" i="14" s="1"/>
  <c r="G30" i="14" s="1"/>
  <c r="T42" i="61"/>
  <c r="E31" i="14"/>
  <c r="F31" i="14" s="1"/>
  <c r="G31" i="14" s="1"/>
  <c r="J31" i="14" s="1"/>
  <c r="C25" i="87"/>
  <c r="E25" i="87" s="1"/>
  <c r="X42" i="61"/>
  <c r="E27" i="14"/>
  <c r="F27" i="14" s="1"/>
  <c r="G27" i="14" s="1"/>
  <c r="C30" i="87"/>
  <c r="E30" i="87" s="1"/>
  <c r="C43" i="86"/>
  <c r="E43" i="86" s="1"/>
  <c r="C29" i="87"/>
  <c r="E29" i="87" s="1"/>
  <c r="E33" i="14"/>
  <c r="C24" i="77"/>
  <c r="E24" i="77" s="1"/>
  <c r="C31" i="77"/>
  <c r="E31" i="77" s="1"/>
  <c r="C23" i="81"/>
  <c r="E23" i="81" s="1"/>
  <c r="C42" i="86"/>
  <c r="C28" i="87"/>
  <c r="E28" i="87" s="1"/>
  <c r="R42" i="61"/>
  <c r="E29" i="14"/>
  <c r="F29" i="14" s="1"/>
  <c r="G29" i="14" s="1"/>
  <c r="J29" i="14" s="1"/>
  <c r="C41" i="86"/>
  <c r="E41" i="86" s="1"/>
  <c r="C27" i="87"/>
  <c r="E27" i="87" s="1"/>
  <c r="E28" i="14"/>
  <c r="F28" i="14" s="1"/>
  <c r="G28" i="14" s="1"/>
  <c r="J28" i="14" s="1"/>
  <c r="C40" i="86"/>
  <c r="E40" i="86" s="1"/>
  <c r="C22" i="63"/>
  <c r="C26" i="63"/>
  <c r="E26" i="63" s="1"/>
  <c r="C25" i="63"/>
  <c r="E25" i="63" s="1"/>
  <c r="S42" i="61"/>
  <c r="C31" i="88"/>
  <c r="E31" i="88" s="1"/>
  <c r="C23" i="88"/>
  <c r="E23" i="88" s="1"/>
  <c r="C30" i="88"/>
  <c r="E30" i="88" s="1"/>
  <c r="C22" i="88"/>
  <c r="C33" i="88"/>
  <c r="E33" i="88" s="1"/>
  <c r="C25" i="88"/>
  <c r="E25" i="88" s="1"/>
  <c r="C32" i="88"/>
  <c r="E32" i="88" s="1"/>
  <c r="C24" i="88"/>
  <c r="E24" i="88" s="1"/>
  <c r="H27" i="14"/>
  <c r="V42" i="61"/>
  <c r="C45" i="86"/>
  <c r="E45" i="86" s="1"/>
  <c r="CD32" i="56"/>
  <c r="U42" i="61"/>
  <c r="E25" i="14"/>
  <c r="F25" i="14" s="1"/>
  <c r="G25" i="14" s="1"/>
  <c r="C24" i="81"/>
  <c r="E24" i="81" s="1"/>
  <c r="C25" i="81"/>
  <c r="E25" i="81" s="1"/>
  <c r="C22" i="81"/>
  <c r="E22" i="81" s="1"/>
  <c r="C38" i="81"/>
  <c r="E38" i="81" s="1"/>
  <c r="C29" i="81"/>
  <c r="E29" i="81" s="1"/>
  <c r="C32" i="81"/>
  <c r="E32" i="81" s="1"/>
  <c r="C28" i="81"/>
  <c r="E28" i="81" s="1"/>
  <c r="C40" i="81"/>
  <c r="E40" i="81" s="1"/>
  <c r="C31" i="81"/>
  <c r="E31" i="81" s="1"/>
  <c r="C27" i="81"/>
  <c r="E27" i="81" s="1"/>
  <c r="C39" i="81"/>
  <c r="E39" i="81" s="1"/>
  <c r="C30" i="81"/>
  <c r="E30" i="81" s="1"/>
  <c r="C21" i="81"/>
  <c r="E24" i="14"/>
  <c r="E23" i="14"/>
  <c r="F23" i="14" s="1"/>
  <c r="G23" i="14" s="1"/>
  <c r="Q42" i="61"/>
  <c r="E21" i="14"/>
  <c r="F21" i="14" s="1"/>
  <c r="G21" i="14" s="1"/>
  <c r="J21" i="14" s="1"/>
  <c r="E18" i="14"/>
  <c r="F18" i="14" s="1"/>
  <c r="E22" i="14"/>
  <c r="F22" i="14" s="1"/>
  <c r="G22" i="14" s="1"/>
  <c r="J22" i="14" s="1"/>
  <c r="C33" i="77"/>
  <c r="E33" i="77" s="1"/>
  <c r="O42" i="61"/>
  <c r="P42" i="61"/>
  <c r="E20" i="14"/>
  <c r="F20" i="14" s="1"/>
  <c r="G20" i="14" s="1"/>
  <c r="J20" i="14" s="1"/>
  <c r="E19" i="14"/>
  <c r="F19" i="14" s="1"/>
  <c r="G19" i="14" s="1"/>
  <c r="J19" i="14" s="1"/>
  <c r="E17" i="14"/>
  <c r="F17" i="14" s="1"/>
  <c r="G17" i="14" s="1"/>
  <c r="B31" i="59"/>
  <c r="B32" i="59"/>
  <c r="B33" i="59"/>
  <c r="K42" i="61"/>
  <c r="E16" i="14"/>
  <c r="F16" i="14" s="1"/>
  <c r="G16" i="14" s="1"/>
  <c r="E13" i="14"/>
  <c r="F13" i="14" s="1"/>
  <c r="G13" i="14" s="1"/>
  <c r="J13" i="14" s="1"/>
  <c r="E12" i="14"/>
  <c r="F12" i="14" s="1"/>
  <c r="G12" i="14" s="1"/>
  <c r="J12" i="14" s="1"/>
  <c r="E15" i="14"/>
  <c r="F15" i="14" s="1"/>
  <c r="G15" i="14" s="1"/>
  <c r="E14" i="14"/>
  <c r="F14" i="14" s="1"/>
  <c r="G14" i="14" s="1"/>
  <c r="J14" i="14" s="1"/>
  <c r="C31" i="70"/>
  <c r="E31" i="70" s="1"/>
  <c r="C27" i="70"/>
  <c r="E27" i="70" s="1"/>
  <c r="C23" i="70"/>
  <c r="E23" i="70" s="1"/>
  <c r="E21" i="70"/>
  <c r="C25" i="70"/>
  <c r="E25" i="70" s="1"/>
  <c r="C24" i="70"/>
  <c r="E24" i="70" s="1"/>
  <c r="C30" i="70"/>
  <c r="E30" i="70" s="1"/>
  <c r="C26" i="70"/>
  <c r="E26" i="70" s="1"/>
  <c r="C29" i="70"/>
  <c r="E29" i="70" s="1"/>
  <c r="C28" i="70"/>
  <c r="E28" i="70" s="1"/>
  <c r="C22" i="70"/>
  <c r="E22" i="70" s="1"/>
  <c r="C31" i="63"/>
  <c r="E31" i="63" s="1"/>
  <c r="C30" i="63"/>
  <c r="E30" i="63" s="1"/>
  <c r="C29" i="63"/>
  <c r="E29" i="63" s="1"/>
  <c r="C28" i="63"/>
  <c r="C24" i="63"/>
  <c r="E24" i="63" s="1"/>
  <c r="C27" i="63"/>
  <c r="E27" i="63" s="1"/>
  <c r="E28" i="63"/>
  <c r="E23" i="63"/>
  <c r="G18" i="14" l="1"/>
  <c r="G26" i="14"/>
  <c r="F33" i="14"/>
  <c r="G33" i="14" s="1"/>
  <c r="G32" i="14"/>
  <c r="F24" i="14"/>
  <c r="G24" i="14" s="1"/>
  <c r="J24" i="14" s="1"/>
  <c r="I30" i="14"/>
  <c r="I31" i="14"/>
  <c r="E22" i="88"/>
  <c r="E34" i="88" s="1"/>
  <c r="C34" i="88"/>
  <c r="J27" i="14"/>
  <c r="I29" i="14"/>
  <c r="C31" i="87"/>
  <c r="E31" i="87"/>
  <c r="C46" i="86"/>
  <c r="E42" i="86"/>
  <c r="E46" i="86" s="1"/>
  <c r="I28" i="14"/>
  <c r="I27" i="14"/>
  <c r="J25" i="14"/>
  <c r="I25" i="14"/>
  <c r="C41" i="81"/>
  <c r="E21" i="81"/>
  <c r="E41" i="81" s="1"/>
  <c r="J23" i="14"/>
  <c r="I23" i="14"/>
  <c r="J18" i="14"/>
  <c r="I21" i="14"/>
  <c r="I22" i="14"/>
  <c r="E34" i="77"/>
  <c r="C34" i="77"/>
  <c r="I20" i="14"/>
  <c r="I19" i="14"/>
  <c r="J17" i="14"/>
  <c r="I17" i="14"/>
  <c r="J15" i="14"/>
  <c r="I15" i="14"/>
  <c r="J16" i="14"/>
  <c r="I16" i="14"/>
  <c r="I12" i="14"/>
  <c r="I14" i="14"/>
  <c r="E20" i="70"/>
  <c r="E32" i="70" s="1"/>
  <c r="C32" i="70"/>
  <c r="I13" i="14"/>
  <c r="C32" i="63"/>
  <c r="E22" i="63"/>
  <c r="E32" i="63" s="1"/>
  <c r="I18" i="14" l="1"/>
  <c r="I26" i="14"/>
  <c r="J26" i="14"/>
  <c r="J33" i="14"/>
  <c r="I33" i="14"/>
  <c r="I24" i="14"/>
  <c r="X40" i="38"/>
  <c r="H32" i="14"/>
  <c r="I32" i="14" s="1"/>
  <c r="B8" i="14"/>
  <c r="B7" i="14"/>
  <c r="I1" i="59"/>
  <c r="C3" i="56"/>
  <c r="C4" i="56"/>
  <c r="C5" i="56"/>
  <c r="C6" i="56"/>
  <c r="C7" i="56"/>
  <c r="C8" i="56"/>
  <c r="C9" i="56"/>
  <c r="C10" i="56"/>
  <c r="C11" i="56"/>
  <c r="C12" i="56"/>
  <c r="C13" i="56"/>
  <c r="C14" i="56"/>
  <c r="C15" i="56"/>
  <c r="C16" i="56"/>
  <c r="C17" i="56"/>
  <c r="C18" i="56"/>
  <c r="C19" i="56"/>
  <c r="C20" i="56"/>
  <c r="C21" i="56"/>
  <c r="C22" i="56"/>
  <c r="C23" i="56"/>
  <c r="C24" i="56"/>
  <c r="C25" i="56"/>
  <c r="C26" i="56"/>
  <c r="C27" i="56"/>
  <c r="C28" i="56"/>
  <c r="C2" i="56"/>
  <c r="BS57" i="56"/>
  <c r="BP57" i="56"/>
  <c r="BM57" i="56"/>
  <c r="BJ57" i="56"/>
  <c r="BG57" i="56"/>
  <c r="BD57" i="56"/>
  <c r="BA57" i="56"/>
  <c r="AX57" i="56"/>
  <c r="AU57" i="56"/>
  <c r="AR57" i="56"/>
  <c r="AO57" i="56"/>
  <c r="AL57" i="56"/>
  <c r="AI57" i="56"/>
  <c r="AF57" i="56"/>
  <c r="AC57" i="56"/>
  <c r="Z57" i="56"/>
  <c r="W57" i="56"/>
  <c r="T57" i="56"/>
  <c r="Q57" i="56"/>
  <c r="N57" i="56"/>
  <c r="K57" i="56"/>
  <c r="H57" i="56"/>
  <c r="E57" i="56"/>
  <c r="C57" i="56"/>
  <c r="BS52" i="56"/>
  <c r="BP53" i="56"/>
  <c r="BP58" i="56" s="1"/>
  <c r="BP52" i="56"/>
  <c r="BM52" i="56"/>
  <c r="BJ52" i="56"/>
  <c r="BG52" i="56"/>
  <c r="BD52" i="56"/>
  <c r="BA52" i="56"/>
  <c r="AX52" i="56"/>
  <c r="AU52" i="56"/>
  <c r="AR52" i="56"/>
  <c r="AO52" i="56"/>
  <c r="AL52" i="56"/>
  <c r="AI52" i="56"/>
  <c r="AF52" i="56"/>
  <c r="AC52" i="56"/>
  <c r="Z52" i="56"/>
  <c r="W52" i="56"/>
  <c r="T52" i="56"/>
  <c r="Q52" i="56"/>
  <c r="N52" i="56"/>
  <c r="K52" i="56"/>
  <c r="H52" i="56"/>
  <c r="E52" i="56"/>
  <c r="D40" i="62"/>
  <c r="C40" i="62"/>
  <c r="G6" i="62"/>
  <c r="H6" i="62" s="1"/>
  <c r="G5" i="62"/>
  <c r="G4" i="62"/>
  <c r="H3" i="62"/>
  <c r="G2" i="62"/>
  <c r="CD48" i="56"/>
  <c r="BS3" i="56"/>
  <c r="BS4" i="56"/>
  <c r="BS5" i="56"/>
  <c r="BS6" i="56"/>
  <c r="BS7" i="56"/>
  <c r="BS8" i="56"/>
  <c r="BS9" i="56"/>
  <c r="BS10" i="56"/>
  <c r="BS11" i="56"/>
  <c r="BS12" i="56"/>
  <c r="BS13" i="56"/>
  <c r="BS14" i="56"/>
  <c r="BS15" i="56"/>
  <c r="BS16" i="56"/>
  <c r="BS17" i="56"/>
  <c r="BS18" i="56"/>
  <c r="BS19" i="56"/>
  <c r="BS20" i="56"/>
  <c r="BS21" i="56"/>
  <c r="BS22" i="56"/>
  <c r="BS23" i="56"/>
  <c r="BS24" i="56"/>
  <c r="BS25" i="56"/>
  <c r="BS26" i="56"/>
  <c r="BS27" i="56"/>
  <c r="BS28" i="56"/>
  <c r="BS2" i="56"/>
  <c r="BP3" i="56"/>
  <c r="BP4" i="56"/>
  <c r="BP5" i="56"/>
  <c r="BP6" i="56"/>
  <c r="BP7" i="56"/>
  <c r="BP8" i="56"/>
  <c r="BP9" i="56"/>
  <c r="BP10" i="56"/>
  <c r="BP11" i="56"/>
  <c r="BP12" i="56"/>
  <c r="BP13" i="56"/>
  <c r="BP14" i="56"/>
  <c r="BP15" i="56"/>
  <c r="BP16" i="56"/>
  <c r="BP17" i="56"/>
  <c r="BP18" i="56"/>
  <c r="BP19" i="56"/>
  <c r="BP20" i="56"/>
  <c r="BP21" i="56"/>
  <c r="BP22" i="56"/>
  <c r="BP23" i="56"/>
  <c r="BP24" i="56"/>
  <c r="BP25" i="56"/>
  <c r="BP26" i="56"/>
  <c r="BP27" i="56"/>
  <c r="BP28" i="56"/>
  <c r="BP2" i="56"/>
  <c r="BM3" i="56"/>
  <c r="BM4" i="56"/>
  <c r="BM5" i="56"/>
  <c r="BM6" i="56"/>
  <c r="BM7" i="56"/>
  <c r="BM8" i="56"/>
  <c r="BM9" i="56"/>
  <c r="BM10" i="56"/>
  <c r="BM11" i="56"/>
  <c r="BM12" i="56"/>
  <c r="BM13" i="56"/>
  <c r="BM14" i="56"/>
  <c r="BM15" i="56"/>
  <c r="BM16" i="56"/>
  <c r="BM17" i="56"/>
  <c r="BM18" i="56"/>
  <c r="BM19" i="56"/>
  <c r="BM20" i="56"/>
  <c r="BM21" i="56"/>
  <c r="BM22" i="56"/>
  <c r="BM23" i="56"/>
  <c r="BM24" i="56"/>
  <c r="BM25" i="56"/>
  <c r="BM26" i="56"/>
  <c r="BM27" i="56"/>
  <c r="BM28" i="56"/>
  <c r="BM2" i="56"/>
  <c r="BJ3" i="56"/>
  <c r="BJ4" i="56"/>
  <c r="BJ5" i="56"/>
  <c r="BJ6" i="56"/>
  <c r="BJ7" i="56"/>
  <c r="BJ8" i="56"/>
  <c r="BJ9" i="56"/>
  <c r="BJ10" i="56"/>
  <c r="BJ11" i="56"/>
  <c r="BJ12" i="56"/>
  <c r="BJ13" i="56"/>
  <c r="BJ14" i="56"/>
  <c r="BJ15" i="56"/>
  <c r="BJ16" i="56"/>
  <c r="BJ17" i="56"/>
  <c r="BJ18" i="56"/>
  <c r="BJ19" i="56"/>
  <c r="BJ20" i="56"/>
  <c r="BJ21" i="56"/>
  <c r="BJ22" i="56"/>
  <c r="BJ23" i="56"/>
  <c r="BJ24" i="56"/>
  <c r="BJ25" i="56"/>
  <c r="BJ26" i="56"/>
  <c r="BJ27" i="56"/>
  <c r="BJ28" i="56"/>
  <c r="BJ2" i="56"/>
  <c r="BG3" i="56"/>
  <c r="BG4" i="56"/>
  <c r="BG5" i="56"/>
  <c r="BG6" i="56"/>
  <c r="BG7" i="56"/>
  <c r="BG8" i="56"/>
  <c r="BG9" i="56"/>
  <c r="BG10" i="56"/>
  <c r="BG11" i="56"/>
  <c r="BG12" i="56"/>
  <c r="BG13" i="56"/>
  <c r="BG14" i="56"/>
  <c r="BG15" i="56"/>
  <c r="BG16" i="56"/>
  <c r="BG17" i="56"/>
  <c r="BG18" i="56"/>
  <c r="BG19" i="56"/>
  <c r="BG20" i="56"/>
  <c r="BG21" i="56"/>
  <c r="BG22" i="56"/>
  <c r="BG23" i="56"/>
  <c r="BG24" i="56"/>
  <c r="BG25" i="56"/>
  <c r="BG26" i="56"/>
  <c r="BG27" i="56"/>
  <c r="BG28" i="56"/>
  <c r="BG2" i="56"/>
  <c r="BD3" i="56"/>
  <c r="BD4" i="56"/>
  <c r="BD5" i="56"/>
  <c r="BD6" i="56"/>
  <c r="BD7" i="56"/>
  <c r="BD8" i="56"/>
  <c r="BD9" i="56"/>
  <c r="BD10" i="56"/>
  <c r="BD11" i="56"/>
  <c r="BD12" i="56"/>
  <c r="BD13" i="56"/>
  <c r="BD14" i="56"/>
  <c r="BD15" i="56"/>
  <c r="BD16" i="56"/>
  <c r="BD17" i="56"/>
  <c r="BD18" i="56"/>
  <c r="BD19" i="56"/>
  <c r="BD20" i="56"/>
  <c r="BD21" i="56"/>
  <c r="BD22" i="56"/>
  <c r="BD23" i="56"/>
  <c r="BD24" i="56"/>
  <c r="BD25" i="56"/>
  <c r="BD26" i="56"/>
  <c r="BD27" i="56"/>
  <c r="BD28" i="56"/>
  <c r="BD2" i="56"/>
  <c r="BA3" i="56"/>
  <c r="BA4" i="56"/>
  <c r="BA5" i="56"/>
  <c r="BA6" i="56"/>
  <c r="BA7" i="56"/>
  <c r="BA8" i="56"/>
  <c r="BA9" i="56"/>
  <c r="BA10" i="56"/>
  <c r="BA11" i="56"/>
  <c r="BA12" i="56"/>
  <c r="BA13" i="56"/>
  <c r="BA14" i="56"/>
  <c r="BA15" i="56"/>
  <c r="BA16" i="56"/>
  <c r="BA17" i="56"/>
  <c r="BA18" i="56"/>
  <c r="BA19" i="56"/>
  <c r="BA20" i="56"/>
  <c r="BA21" i="56"/>
  <c r="BA22" i="56"/>
  <c r="BA23" i="56"/>
  <c r="BA24" i="56"/>
  <c r="BA25" i="56"/>
  <c r="BA26" i="56"/>
  <c r="BA27" i="56"/>
  <c r="BA28" i="56"/>
  <c r="BA2" i="56"/>
  <c r="AX3" i="56"/>
  <c r="AX4" i="56"/>
  <c r="AX5" i="56"/>
  <c r="AX6" i="56"/>
  <c r="AX7" i="56"/>
  <c r="AX8" i="56"/>
  <c r="AX9" i="56"/>
  <c r="AX10" i="56"/>
  <c r="AX11" i="56"/>
  <c r="AX12" i="56"/>
  <c r="AX13" i="56"/>
  <c r="AX14" i="56"/>
  <c r="AX15" i="56"/>
  <c r="AX16" i="56"/>
  <c r="AX17" i="56"/>
  <c r="AX18" i="56"/>
  <c r="AX19" i="56"/>
  <c r="AX20" i="56"/>
  <c r="AX21" i="56"/>
  <c r="AX22" i="56"/>
  <c r="AX23" i="56"/>
  <c r="AX24" i="56"/>
  <c r="AX25" i="56"/>
  <c r="AX26" i="56"/>
  <c r="AX27" i="56"/>
  <c r="AX28" i="56"/>
  <c r="AX2" i="56"/>
  <c r="AU3" i="56"/>
  <c r="AU4" i="56"/>
  <c r="AU5" i="56"/>
  <c r="AU6" i="56"/>
  <c r="AU7" i="56"/>
  <c r="AU8" i="56"/>
  <c r="AU9" i="56"/>
  <c r="AU10" i="56"/>
  <c r="AU11" i="56"/>
  <c r="AU12" i="56"/>
  <c r="AU13" i="56"/>
  <c r="AU14" i="56"/>
  <c r="AU15" i="56"/>
  <c r="AU16" i="56"/>
  <c r="AU17" i="56"/>
  <c r="AU18" i="56"/>
  <c r="AU19" i="56"/>
  <c r="AU20" i="56"/>
  <c r="AU21" i="56"/>
  <c r="AU22" i="56"/>
  <c r="AU23" i="56"/>
  <c r="AU24" i="56"/>
  <c r="AU25" i="56"/>
  <c r="AU26" i="56"/>
  <c r="AU27" i="56"/>
  <c r="AU28" i="56"/>
  <c r="AU2" i="56"/>
  <c r="AR3" i="56"/>
  <c r="AR4" i="56"/>
  <c r="AR5" i="56"/>
  <c r="AR6" i="56"/>
  <c r="AR7" i="56"/>
  <c r="AR8" i="56"/>
  <c r="AR9" i="56"/>
  <c r="AR10" i="56"/>
  <c r="AR11" i="56"/>
  <c r="AR12" i="56"/>
  <c r="AR13" i="56"/>
  <c r="AR14" i="56"/>
  <c r="AR15" i="56"/>
  <c r="AR16" i="56"/>
  <c r="AR17" i="56"/>
  <c r="AR18" i="56"/>
  <c r="AR19" i="56"/>
  <c r="AR20" i="56"/>
  <c r="AR21" i="56"/>
  <c r="AR22" i="56"/>
  <c r="AR23" i="56"/>
  <c r="AR24" i="56"/>
  <c r="AR25" i="56"/>
  <c r="AR26" i="56"/>
  <c r="AR27" i="56"/>
  <c r="AR28" i="56"/>
  <c r="AR2" i="56"/>
  <c r="AO3" i="56"/>
  <c r="AO4" i="56"/>
  <c r="AO5" i="56"/>
  <c r="AO6" i="56"/>
  <c r="AO7" i="56"/>
  <c r="AO8" i="56"/>
  <c r="AO9" i="56"/>
  <c r="AO10" i="56"/>
  <c r="AO11" i="56"/>
  <c r="AO12" i="56"/>
  <c r="AO13" i="56"/>
  <c r="AO14" i="56"/>
  <c r="AO15" i="56"/>
  <c r="AO16" i="56"/>
  <c r="AO17" i="56"/>
  <c r="AO18" i="56"/>
  <c r="AO19" i="56"/>
  <c r="AO20" i="56"/>
  <c r="AO21" i="56"/>
  <c r="AO22" i="56"/>
  <c r="AO23" i="56"/>
  <c r="AO24" i="56"/>
  <c r="AO25" i="56"/>
  <c r="AO26" i="56"/>
  <c r="AO27" i="56"/>
  <c r="AO28" i="56"/>
  <c r="AO2" i="56"/>
  <c r="AL3" i="56"/>
  <c r="AL4" i="56"/>
  <c r="AL5" i="56"/>
  <c r="AL6" i="56"/>
  <c r="AL7" i="56"/>
  <c r="AL8" i="56"/>
  <c r="AL9" i="56"/>
  <c r="AL10" i="56"/>
  <c r="AL11" i="56"/>
  <c r="AL12" i="56"/>
  <c r="AL13" i="56"/>
  <c r="AL14" i="56"/>
  <c r="AL15" i="56"/>
  <c r="AL16" i="56"/>
  <c r="AL17" i="56"/>
  <c r="AL18" i="56"/>
  <c r="AL19" i="56"/>
  <c r="AL20" i="56"/>
  <c r="AL21" i="56"/>
  <c r="AL22" i="56"/>
  <c r="AL23" i="56"/>
  <c r="AL24" i="56"/>
  <c r="AL25" i="56"/>
  <c r="AL26" i="56"/>
  <c r="AL27" i="56"/>
  <c r="AL28" i="56"/>
  <c r="AL2" i="56"/>
  <c r="AI3" i="56"/>
  <c r="AI4" i="56"/>
  <c r="AI5" i="56"/>
  <c r="AI6" i="56"/>
  <c r="AI7" i="56"/>
  <c r="AI8" i="56"/>
  <c r="AI9" i="56"/>
  <c r="AI10" i="56"/>
  <c r="AI11" i="56"/>
  <c r="AI12" i="56"/>
  <c r="AI13" i="56"/>
  <c r="AI14" i="56"/>
  <c r="AI15" i="56"/>
  <c r="AI16" i="56"/>
  <c r="AI17" i="56"/>
  <c r="AI18" i="56"/>
  <c r="AI19" i="56"/>
  <c r="AI20" i="56"/>
  <c r="AI21" i="56"/>
  <c r="AI22" i="56"/>
  <c r="AI23" i="56"/>
  <c r="AI24" i="56"/>
  <c r="AI25" i="56"/>
  <c r="AI26" i="56"/>
  <c r="AI27" i="56"/>
  <c r="AI28" i="56"/>
  <c r="AI2" i="56"/>
  <c r="AF3" i="56"/>
  <c r="AF4" i="56"/>
  <c r="AF5" i="56"/>
  <c r="AF6" i="56"/>
  <c r="AF7" i="56"/>
  <c r="AF8" i="56"/>
  <c r="AF9" i="56"/>
  <c r="AF10" i="56"/>
  <c r="AF11" i="56"/>
  <c r="AF12" i="56"/>
  <c r="AF13" i="56"/>
  <c r="AF14" i="56"/>
  <c r="AF15" i="56"/>
  <c r="AF16" i="56"/>
  <c r="AF17" i="56"/>
  <c r="AF18" i="56"/>
  <c r="AF19" i="56"/>
  <c r="AF20" i="56"/>
  <c r="AF21" i="56"/>
  <c r="AF22" i="56"/>
  <c r="AF23" i="56"/>
  <c r="AF24" i="56"/>
  <c r="AF25" i="56"/>
  <c r="AF26" i="56"/>
  <c r="AF27" i="56"/>
  <c r="AF28" i="56"/>
  <c r="AF2" i="56"/>
  <c r="AC3" i="56"/>
  <c r="AC4" i="56"/>
  <c r="AC5" i="56"/>
  <c r="AC6" i="56"/>
  <c r="AC7" i="56"/>
  <c r="AC8" i="56"/>
  <c r="AC9" i="56"/>
  <c r="AC10" i="56"/>
  <c r="AC11" i="56"/>
  <c r="AC12" i="56"/>
  <c r="AC13" i="56"/>
  <c r="AC14" i="56"/>
  <c r="AC15" i="56"/>
  <c r="AC16" i="56"/>
  <c r="AC17" i="56"/>
  <c r="AC18" i="56"/>
  <c r="AC19" i="56"/>
  <c r="AC20" i="56"/>
  <c r="AC21" i="56"/>
  <c r="AC22" i="56"/>
  <c r="AC23" i="56"/>
  <c r="AC24" i="56"/>
  <c r="AC25" i="56"/>
  <c r="AC26" i="56"/>
  <c r="AC27" i="56"/>
  <c r="AC28" i="56"/>
  <c r="AC2" i="56"/>
  <c r="Z3" i="56"/>
  <c r="Z4" i="56"/>
  <c r="Z5" i="56"/>
  <c r="Z6" i="56"/>
  <c r="Z7" i="56"/>
  <c r="Z8" i="56"/>
  <c r="Z9" i="56"/>
  <c r="Z10" i="56"/>
  <c r="Z11" i="56"/>
  <c r="Z12" i="56"/>
  <c r="Z13" i="56"/>
  <c r="Z14" i="56"/>
  <c r="Z15" i="56"/>
  <c r="Z16" i="56"/>
  <c r="Z17" i="56"/>
  <c r="Z18" i="56"/>
  <c r="Z19" i="56"/>
  <c r="Z20" i="56"/>
  <c r="Z21" i="56"/>
  <c r="Z22" i="56"/>
  <c r="Z23" i="56"/>
  <c r="Z24" i="56"/>
  <c r="Z25" i="56"/>
  <c r="Z26" i="56"/>
  <c r="Z27" i="56"/>
  <c r="Z28" i="56"/>
  <c r="Z2" i="56"/>
  <c r="W3" i="56"/>
  <c r="W4" i="56"/>
  <c r="W5" i="56"/>
  <c r="W6" i="56"/>
  <c r="W7" i="56"/>
  <c r="W8" i="56"/>
  <c r="W9" i="56"/>
  <c r="W10" i="56"/>
  <c r="W11" i="56"/>
  <c r="W12" i="56"/>
  <c r="W13" i="56"/>
  <c r="W14" i="56"/>
  <c r="W15" i="56"/>
  <c r="W16" i="56"/>
  <c r="W17" i="56"/>
  <c r="W18" i="56"/>
  <c r="W19" i="56"/>
  <c r="W20" i="56"/>
  <c r="W21" i="56"/>
  <c r="W22" i="56"/>
  <c r="W23" i="56"/>
  <c r="W24" i="56"/>
  <c r="W25" i="56"/>
  <c r="W26" i="56"/>
  <c r="W27" i="56"/>
  <c r="W28" i="56"/>
  <c r="W2" i="56"/>
  <c r="T3" i="56"/>
  <c r="T4" i="56"/>
  <c r="T5" i="56"/>
  <c r="T6" i="56"/>
  <c r="T7" i="56"/>
  <c r="T8" i="56"/>
  <c r="T9" i="56"/>
  <c r="T10" i="56"/>
  <c r="T11" i="56"/>
  <c r="T12" i="56"/>
  <c r="T13" i="56"/>
  <c r="T14" i="56"/>
  <c r="T15" i="56"/>
  <c r="T16" i="56"/>
  <c r="T17" i="56"/>
  <c r="T18" i="56"/>
  <c r="T19" i="56"/>
  <c r="T20" i="56"/>
  <c r="T21" i="56"/>
  <c r="T22" i="56"/>
  <c r="T23" i="56"/>
  <c r="T24" i="56"/>
  <c r="T25" i="56"/>
  <c r="T26" i="56"/>
  <c r="T27" i="56"/>
  <c r="T28" i="56"/>
  <c r="T2" i="56"/>
  <c r="Q3" i="56"/>
  <c r="Q4" i="56"/>
  <c r="Q5" i="56"/>
  <c r="Q6" i="56"/>
  <c r="Q7" i="56"/>
  <c r="Q8" i="56"/>
  <c r="Q9" i="56"/>
  <c r="Q10" i="56"/>
  <c r="Q11" i="56"/>
  <c r="Q12" i="56"/>
  <c r="Q13" i="56"/>
  <c r="Q14" i="56"/>
  <c r="Q15" i="56"/>
  <c r="Q16" i="56"/>
  <c r="Q17" i="56"/>
  <c r="Q18" i="56"/>
  <c r="Q19" i="56"/>
  <c r="Q20" i="56"/>
  <c r="Q21" i="56"/>
  <c r="Q22" i="56"/>
  <c r="Q23" i="56"/>
  <c r="Q24" i="56"/>
  <c r="Q25" i="56"/>
  <c r="Q26" i="56"/>
  <c r="Q27" i="56"/>
  <c r="Q28" i="56"/>
  <c r="Q2" i="56"/>
  <c r="Q48" i="56" s="1"/>
  <c r="N3" i="56"/>
  <c r="N4" i="56"/>
  <c r="N5" i="56"/>
  <c r="N6" i="56"/>
  <c r="N7" i="56"/>
  <c r="N8" i="56"/>
  <c r="N9" i="56"/>
  <c r="N10" i="56"/>
  <c r="N11" i="56"/>
  <c r="N12" i="56"/>
  <c r="N13" i="56"/>
  <c r="N14" i="56"/>
  <c r="N15" i="56"/>
  <c r="N16" i="56"/>
  <c r="N17" i="56"/>
  <c r="N18" i="56"/>
  <c r="N19" i="56"/>
  <c r="N20" i="56"/>
  <c r="N21" i="56"/>
  <c r="N22" i="56"/>
  <c r="N23" i="56"/>
  <c r="N24" i="56"/>
  <c r="N25" i="56"/>
  <c r="N26" i="56"/>
  <c r="N27" i="56"/>
  <c r="N28" i="56"/>
  <c r="N2" i="56"/>
  <c r="K3" i="56"/>
  <c r="K4" i="56"/>
  <c r="K5" i="56"/>
  <c r="K6" i="56"/>
  <c r="K7" i="56"/>
  <c r="K8" i="56"/>
  <c r="K9" i="56"/>
  <c r="K10" i="56"/>
  <c r="K11" i="56"/>
  <c r="K12" i="56"/>
  <c r="K13" i="56"/>
  <c r="K14" i="56"/>
  <c r="K15" i="56"/>
  <c r="K16" i="56"/>
  <c r="K17" i="56"/>
  <c r="K18" i="56"/>
  <c r="K19" i="56"/>
  <c r="K48" i="56" s="1"/>
  <c r="K20" i="56"/>
  <c r="K21" i="56"/>
  <c r="K22" i="56"/>
  <c r="K23" i="56"/>
  <c r="K24" i="56"/>
  <c r="K25" i="56"/>
  <c r="K26" i="56"/>
  <c r="K27" i="56"/>
  <c r="K28" i="56"/>
  <c r="K2" i="56"/>
  <c r="H3" i="56"/>
  <c r="H4" i="56"/>
  <c r="H5" i="56"/>
  <c r="H6" i="56"/>
  <c r="H7" i="56"/>
  <c r="H8" i="56"/>
  <c r="H9" i="56"/>
  <c r="H10" i="56"/>
  <c r="H11" i="56"/>
  <c r="H12" i="56"/>
  <c r="H13" i="56"/>
  <c r="H14" i="56"/>
  <c r="H15" i="56"/>
  <c r="H16" i="56"/>
  <c r="H17" i="56"/>
  <c r="H18" i="56"/>
  <c r="H19" i="56"/>
  <c r="H20" i="56"/>
  <c r="H21" i="56"/>
  <c r="H22" i="56"/>
  <c r="H23" i="56"/>
  <c r="H24" i="56"/>
  <c r="H25" i="56"/>
  <c r="H26" i="56"/>
  <c r="H27" i="56"/>
  <c r="H28" i="56"/>
  <c r="H2" i="56"/>
  <c r="E3" i="56"/>
  <c r="E4" i="56"/>
  <c r="E5" i="56"/>
  <c r="E6" i="56"/>
  <c r="E7" i="56"/>
  <c r="E8" i="56"/>
  <c r="E9" i="56"/>
  <c r="E10" i="56"/>
  <c r="E11" i="56"/>
  <c r="E12" i="56"/>
  <c r="E13" i="56"/>
  <c r="E14" i="56"/>
  <c r="E15" i="56"/>
  <c r="E16" i="56"/>
  <c r="E17" i="56"/>
  <c r="E18" i="56"/>
  <c r="E19" i="56"/>
  <c r="E20" i="56"/>
  <c r="E48" i="56" s="1"/>
  <c r="E21" i="56"/>
  <c r="E22" i="56"/>
  <c r="E23" i="56"/>
  <c r="E24" i="56"/>
  <c r="E25" i="56"/>
  <c r="E26" i="56"/>
  <c r="E27" i="56"/>
  <c r="E28" i="56"/>
  <c r="E2" i="56"/>
  <c r="A3" i="56"/>
  <c r="A5" i="59" s="1"/>
  <c r="B3" i="56"/>
  <c r="B5" i="59" s="1"/>
  <c r="A4" i="56"/>
  <c r="A6" i="59" s="1"/>
  <c r="B4" i="56"/>
  <c r="B6" i="59" s="1"/>
  <c r="A5" i="56"/>
  <c r="A7" i="59" s="1"/>
  <c r="B5" i="56"/>
  <c r="B7" i="59" s="1"/>
  <c r="A6" i="56"/>
  <c r="A8" i="59" s="1"/>
  <c r="B6" i="56"/>
  <c r="B8" i="59" s="1"/>
  <c r="A7" i="56"/>
  <c r="A9" i="59" s="1"/>
  <c r="B7" i="56"/>
  <c r="B9" i="59" s="1"/>
  <c r="A8" i="56"/>
  <c r="A10" i="59" s="1"/>
  <c r="B8" i="56"/>
  <c r="B10" i="59" s="1"/>
  <c r="A9" i="56"/>
  <c r="A11" i="59" s="1"/>
  <c r="B9" i="56"/>
  <c r="B11" i="59" s="1"/>
  <c r="A10" i="56"/>
  <c r="A12" i="59" s="1"/>
  <c r="B10" i="56"/>
  <c r="B12" i="59" s="1"/>
  <c r="A11" i="56"/>
  <c r="A13" i="59" s="1"/>
  <c r="B11" i="56"/>
  <c r="B13" i="59" s="1"/>
  <c r="A12" i="56"/>
  <c r="A14" i="59" s="1"/>
  <c r="B12" i="56"/>
  <c r="B14" i="59" s="1"/>
  <c r="A13" i="56"/>
  <c r="A15" i="59" s="1"/>
  <c r="B13" i="56"/>
  <c r="B15" i="59" s="1"/>
  <c r="A14" i="56"/>
  <c r="A16" i="59" s="1"/>
  <c r="B14" i="56"/>
  <c r="B16" i="59" s="1"/>
  <c r="A15" i="56"/>
  <c r="A17" i="59" s="1"/>
  <c r="B15" i="56"/>
  <c r="B17" i="59" s="1"/>
  <c r="A16" i="56"/>
  <c r="A18" i="59" s="1"/>
  <c r="B16" i="56"/>
  <c r="B18" i="59" s="1"/>
  <c r="A17" i="56"/>
  <c r="A19" i="59" s="1"/>
  <c r="B17" i="56"/>
  <c r="B19" i="59" s="1"/>
  <c r="A18" i="56"/>
  <c r="A20" i="59" s="1"/>
  <c r="B18" i="56"/>
  <c r="B20" i="59" s="1"/>
  <c r="A19" i="56"/>
  <c r="A21" i="59" s="1"/>
  <c r="B19" i="56"/>
  <c r="B21" i="59" s="1"/>
  <c r="A20" i="56"/>
  <c r="A22" i="59" s="1"/>
  <c r="B20" i="56"/>
  <c r="B22" i="59" s="1"/>
  <c r="A21" i="56"/>
  <c r="A23" i="59" s="1"/>
  <c r="B21" i="56"/>
  <c r="B23" i="59" s="1"/>
  <c r="A22" i="56"/>
  <c r="A24" i="59" s="1"/>
  <c r="B22" i="56"/>
  <c r="B24" i="59" s="1"/>
  <c r="A23" i="56"/>
  <c r="A25" i="59" s="1"/>
  <c r="B23" i="56"/>
  <c r="B25" i="59" s="1"/>
  <c r="A24" i="56"/>
  <c r="A26" i="59" s="1"/>
  <c r="B24" i="56"/>
  <c r="B26" i="59" s="1"/>
  <c r="A25" i="56"/>
  <c r="A27" i="59" s="1"/>
  <c r="B25" i="56"/>
  <c r="B27" i="59" s="1"/>
  <c r="A26" i="56"/>
  <c r="A28" i="59" s="1"/>
  <c r="B26" i="56"/>
  <c r="CD26" i="56" s="1"/>
  <c r="A27" i="56"/>
  <c r="A29" i="59" s="1"/>
  <c r="B27" i="56"/>
  <c r="B29" i="59" s="1"/>
  <c r="A28" i="56"/>
  <c r="A30" i="59" s="1"/>
  <c r="B28" i="56"/>
  <c r="CD28" i="56" s="1"/>
  <c r="B2" i="56"/>
  <c r="B4" i="59" s="1"/>
  <c r="A2" i="56"/>
  <c r="A4" i="59" s="1"/>
  <c r="BM53" i="56"/>
  <c r="AR53" i="56"/>
  <c r="E53" i="56"/>
  <c r="H53" i="56"/>
  <c r="K53" i="56"/>
  <c r="N53" i="56"/>
  <c r="Q53" i="56"/>
  <c r="T53" i="56"/>
  <c r="W53" i="56"/>
  <c r="Z53" i="56"/>
  <c r="AC53" i="56"/>
  <c r="AF53" i="56"/>
  <c r="AI53" i="56"/>
  <c r="AL53" i="56"/>
  <c r="AO53" i="56"/>
  <c r="AU53" i="56"/>
  <c r="AX53" i="56"/>
  <c r="BA53" i="56"/>
  <c r="BD53" i="56"/>
  <c r="BG53" i="56"/>
  <c r="BJ53" i="56"/>
  <c r="BS53" i="56"/>
  <c r="BS58" i="56" s="1"/>
  <c r="D42" i="61"/>
  <c r="C42" i="61"/>
  <c r="H3" i="61"/>
  <c r="H11" i="14"/>
  <c r="D11" i="14"/>
  <c r="C11" i="14"/>
  <c r="B11" i="14"/>
  <c r="A11" i="14"/>
  <c r="K10" i="14"/>
  <c r="H10" i="14"/>
  <c r="D10" i="14"/>
  <c r="C10" i="14"/>
  <c r="B10" i="14"/>
  <c r="A10" i="14"/>
  <c r="K9" i="14"/>
  <c r="C9" i="14"/>
  <c r="D9" i="14"/>
  <c r="B9" i="14"/>
  <c r="H9" i="14"/>
  <c r="G6" i="38"/>
  <c r="H6" i="38" s="1"/>
  <c r="G5" i="38"/>
  <c r="H5" i="38" s="1"/>
  <c r="BP55" i="56"/>
  <c r="BP54" i="56" s="1"/>
  <c r="BS55" i="56"/>
  <c r="BS54" i="56" s="1"/>
  <c r="G4" i="38"/>
  <c r="H4" i="38" s="1"/>
  <c r="A9" i="14"/>
  <c r="N48" i="56" l="1"/>
  <c r="H45" i="14"/>
  <c r="H48" i="56"/>
  <c r="B45" i="14"/>
  <c r="F8" i="14"/>
  <c r="J32" i="14"/>
  <c r="F48" i="59"/>
  <c r="BW57" i="56"/>
  <c r="C58" i="59" s="1"/>
  <c r="CD25" i="56"/>
  <c r="B28" i="59"/>
  <c r="B30" i="59"/>
  <c r="CD27" i="56"/>
  <c r="E9" i="14"/>
  <c r="F9" i="14" s="1"/>
  <c r="E11" i="14"/>
  <c r="F11" i="14" s="1"/>
  <c r="G11" i="14" s="1"/>
  <c r="I11" i="14" s="1"/>
  <c r="E10" i="14"/>
  <c r="F10" i="14" s="1"/>
  <c r="G10" i="14" s="1"/>
  <c r="J10" i="14" s="1"/>
  <c r="C52" i="56"/>
  <c r="H5" i="62"/>
  <c r="H4" i="62"/>
  <c r="G8" i="14" l="1"/>
  <c r="F45" i="14"/>
  <c r="J42" i="61"/>
  <c r="C53" i="56" s="1"/>
  <c r="D32" i="56" s="1"/>
  <c r="G9" i="14"/>
  <c r="BW52" i="56"/>
  <c r="I10" i="14"/>
  <c r="J11" i="14"/>
  <c r="CD3" i="56"/>
  <c r="CD4" i="56"/>
  <c r="CD5" i="56"/>
  <c r="CD6" i="56"/>
  <c r="CD7" i="56"/>
  <c r="CD8" i="56"/>
  <c r="CD9" i="56"/>
  <c r="CD10" i="56"/>
  <c r="CD11" i="56"/>
  <c r="CD12" i="56"/>
  <c r="CD13" i="56"/>
  <c r="CD14" i="56"/>
  <c r="CD15" i="56"/>
  <c r="CD16" i="56"/>
  <c r="CD17" i="56"/>
  <c r="CD18" i="56"/>
  <c r="CD19" i="56"/>
  <c r="CD20" i="56"/>
  <c r="CD21" i="56"/>
  <c r="CD22" i="56"/>
  <c r="CD23" i="56"/>
  <c r="CD24" i="56"/>
  <c r="CD2" i="56"/>
  <c r="BM58" i="56"/>
  <c r="BJ58" i="56"/>
  <c r="BG58" i="56"/>
  <c r="BD58" i="56"/>
  <c r="BA58" i="56"/>
  <c r="AX58" i="56"/>
  <c r="AU58" i="56"/>
  <c r="AR58" i="56"/>
  <c r="AO58" i="56"/>
  <c r="AL58" i="56"/>
  <c r="AI58" i="56"/>
  <c r="AF58" i="56"/>
  <c r="AC58" i="56"/>
  <c r="Z58" i="56"/>
  <c r="W58" i="56"/>
  <c r="T58" i="56"/>
  <c r="Q58" i="56"/>
  <c r="N58" i="56"/>
  <c r="K58" i="56"/>
  <c r="H58" i="56"/>
  <c r="J8" i="14" l="1"/>
  <c r="I8" i="14"/>
  <c r="G45" i="14"/>
  <c r="D47" i="56"/>
  <c r="D44" i="56"/>
  <c r="D46" i="56"/>
  <c r="D43" i="56"/>
  <c r="D37" i="56"/>
  <c r="D40" i="56"/>
  <c r="D41" i="56"/>
  <c r="D38" i="56"/>
  <c r="D45" i="56"/>
  <c r="D42" i="56"/>
  <c r="D39" i="56"/>
  <c r="C53" i="59"/>
  <c r="D36" i="56"/>
  <c r="D34" i="56"/>
  <c r="D35" i="56"/>
  <c r="D33" i="56"/>
  <c r="J9" i="14"/>
  <c r="D31" i="56"/>
  <c r="D30" i="56"/>
  <c r="D29" i="56"/>
  <c r="I9" i="14"/>
  <c r="BW53" i="56"/>
  <c r="D8" i="56"/>
  <c r="D19" i="56"/>
  <c r="D13" i="56"/>
  <c r="D12" i="56"/>
  <c r="D16" i="56"/>
  <c r="D25" i="56"/>
  <c r="D15" i="56"/>
  <c r="D6" i="56"/>
  <c r="D4" i="56"/>
  <c r="D24" i="56"/>
  <c r="D27" i="56"/>
  <c r="D7" i="56"/>
  <c r="D22" i="56"/>
  <c r="D10" i="56"/>
  <c r="D11" i="56"/>
  <c r="C58" i="56"/>
  <c r="D9" i="56"/>
  <c r="D28" i="56"/>
  <c r="D14" i="56"/>
  <c r="D17" i="56"/>
  <c r="D18" i="56"/>
  <c r="D3" i="56"/>
  <c r="D23" i="56"/>
  <c r="D5" i="56"/>
  <c r="D21" i="56"/>
  <c r="D26" i="56"/>
  <c r="D20" i="56"/>
  <c r="J45" i="14" l="1"/>
  <c r="C54" i="59"/>
  <c r="A8" i="14"/>
  <c r="E34" i="4"/>
  <c r="E27" i="4"/>
  <c r="E28" i="4"/>
  <c r="E29" i="4"/>
  <c r="E30" i="4"/>
  <c r="E31" i="4"/>
  <c r="E32" i="4"/>
  <c r="E33" i="4"/>
  <c r="E24" i="4"/>
  <c r="E25" i="4"/>
  <c r="E26" i="4"/>
  <c r="E7" i="14"/>
  <c r="F7" i="14" s="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F35" i="41" s="1"/>
  <c r="E31" i="41"/>
  <c r="E35" i="41" s="1"/>
  <c r="D31" i="41"/>
  <c r="D35" i="41" s="1"/>
  <c r="C31" i="41"/>
  <c r="C35" i="41" s="1"/>
  <c r="X31" i="40"/>
  <c r="W31" i="40"/>
  <c r="V31" i="40"/>
  <c r="U31" i="40"/>
  <c r="T31" i="40"/>
  <c r="S31" i="40"/>
  <c r="R31" i="40"/>
  <c r="Q31" i="40"/>
  <c r="P31" i="40"/>
  <c r="O31" i="40"/>
  <c r="N31" i="40"/>
  <c r="M31" i="40"/>
  <c r="L31" i="40"/>
  <c r="K31" i="40"/>
  <c r="J31" i="40"/>
  <c r="I31" i="40"/>
  <c r="H31" i="40"/>
  <c r="G31" i="40"/>
  <c r="F31" i="40"/>
  <c r="E31" i="40"/>
  <c r="D31" i="40"/>
  <c r="C31" i="40"/>
  <c r="A7" i="14"/>
  <c r="BM55" i="56"/>
  <c r="BM54" i="56" s="1"/>
  <c r="BJ55" i="56"/>
  <c r="BJ54" i="56" s="1"/>
  <c r="BG55" i="56"/>
  <c r="BG54" i="56" s="1"/>
  <c r="BD55" i="56"/>
  <c r="BD54" i="56" s="1"/>
  <c r="BA55" i="56"/>
  <c r="BA54" i="56" s="1"/>
  <c r="AX55" i="56"/>
  <c r="AX54" i="56" s="1"/>
  <c r="AU55" i="56"/>
  <c r="AU54" i="56" s="1"/>
  <c r="AR55" i="56"/>
  <c r="AR54" i="56" s="1"/>
  <c r="AO55" i="56"/>
  <c r="AO54" i="56" s="1"/>
  <c r="AL55" i="56"/>
  <c r="AL54" i="56" s="1"/>
  <c r="AI55" i="56"/>
  <c r="AI54" i="56" s="1"/>
  <c r="AF55" i="56"/>
  <c r="AF54" i="56" s="1"/>
  <c r="AC55" i="56"/>
  <c r="AC54" i="56" s="1"/>
  <c r="Z55" i="56"/>
  <c r="Z54" i="56" s="1"/>
  <c r="W55" i="56"/>
  <c r="W54" i="56" s="1"/>
  <c r="T55" i="56"/>
  <c r="T54" i="56" s="1"/>
  <c r="Q55" i="56"/>
  <c r="Q54" i="56" s="1"/>
  <c r="N55" i="56"/>
  <c r="N54" i="56" s="1"/>
  <c r="K55" i="56"/>
  <c r="K54" i="56" s="1"/>
  <c r="H55" i="56"/>
  <c r="H54" i="56" s="1"/>
  <c r="E55" i="56"/>
  <c r="E54" i="56" s="1"/>
  <c r="C55" i="56"/>
  <c r="D40" i="38"/>
  <c r="C40" i="38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E2" i="4"/>
  <c r="E3" i="4"/>
  <c r="E1" i="4"/>
  <c r="H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4" i="4"/>
  <c r="B2" i="2"/>
  <c r="A2" i="2"/>
  <c r="C54" i="56" l="1"/>
  <c r="BW55" i="56"/>
  <c r="C2" i="2"/>
  <c r="D2" i="56"/>
  <c r="D48" i="56" s="1"/>
  <c r="BV3" i="56"/>
  <c r="C5" i="59" s="1"/>
  <c r="G13" i="4"/>
  <c r="G16" i="4"/>
  <c r="G18" i="4"/>
  <c r="BV2" i="56" l="1"/>
  <c r="C4" i="59" s="1"/>
  <c r="C48" i="2"/>
  <c r="C1" i="14" s="1"/>
  <c r="F2" i="56"/>
  <c r="F40" i="56"/>
  <c r="F39" i="56"/>
  <c r="F44" i="56"/>
  <c r="F42" i="56"/>
  <c r="F46" i="56"/>
  <c r="F38" i="56"/>
  <c r="F41" i="56"/>
  <c r="F43" i="56"/>
  <c r="F45" i="56"/>
  <c r="F47" i="56"/>
  <c r="F37" i="56"/>
  <c r="F36" i="56"/>
  <c r="F32" i="56"/>
  <c r="F35" i="56"/>
  <c r="F33" i="56"/>
  <c r="F34" i="56"/>
  <c r="F30" i="56"/>
  <c r="F31" i="56"/>
  <c r="F29" i="56"/>
  <c r="F6" i="56"/>
  <c r="F14" i="56"/>
  <c r="F22" i="56"/>
  <c r="F17" i="56"/>
  <c r="F10" i="56"/>
  <c r="F3" i="56"/>
  <c r="F27" i="56"/>
  <c r="F12" i="56"/>
  <c r="F28" i="56"/>
  <c r="F21" i="56"/>
  <c r="F7" i="56"/>
  <c r="F15" i="56"/>
  <c r="F23" i="56"/>
  <c r="BW54" i="56"/>
  <c r="C55" i="59" s="1"/>
  <c r="F26" i="56"/>
  <c r="F19" i="56"/>
  <c r="F20" i="56"/>
  <c r="F5" i="56"/>
  <c r="F8" i="56"/>
  <c r="F16" i="56"/>
  <c r="F24" i="56"/>
  <c r="F9" i="56"/>
  <c r="F25" i="56"/>
  <c r="F18" i="56"/>
  <c r="F11" i="56"/>
  <c r="F4" i="56"/>
  <c r="F13" i="56"/>
  <c r="E58" i="56"/>
  <c r="BW58" i="56" s="1"/>
  <c r="F48" i="56" l="1"/>
  <c r="G20" i="56" s="1"/>
  <c r="C56" i="59"/>
  <c r="J7" i="14"/>
  <c r="I7" i="14"/>
  <c r="BV4" i="56"/>
  <c r="C6" i="59" s="1"/>
  <c r="I45" i="14"/>
  <c r="G23" i="56" l="1"/>
  <c r="G15" i="56"/>
  <c r="I45" i="56"/>
  <c r="I41" i="56"/>
  <c r="I39" i="56"/>
  <c r="I44" i="56"/>
  <c r="I43" i="56"/>
  <c r="I47" i="56"/>
  <c r="I42" i="56"/>
  <c r="I40" i="56"/>
  <c r="I38" i="56"/>
  <c r="I46" i="56"/>
  <c r="G44" i="56"/>
  <c r="G46" i="56"/>
  <c r="G38" i="56"/>
  <c r="G39" i="56"/>
  <c r="G40" i="56"/>
  <c r="G47" i="56"/>
  <c r="G41" i="56"/>
  <c r="G42" i="56"/>
  <c r="G43" i="56"/>
  <c r="G45" i="56"/>
  <c r="I37" i="56"/>
  <c r="G37" i="56"/>
  <c r="I13" i="56"/>
  <c r="G17" i="56"/>
  <c r="G18" i="56"/>
  <c r="I32" i="56"/>
  <c r="I34" i="56"/>
  <c r="I35" i="56"/>
  <c r="I33" i="56"/>
  <c r="I36" i="56"/>
  <c r="G36" i="56"/>
  <c r="G33" i="56"/>
  <c r="G34" i="56"/>
  <c r="G35" i="56"/>
  <c r="G32" i="56"/>
  <c r="I26" i="56"/>
  <c r="I29" i="56"/>
  <c r="I30" i="56"/>
  <c r="I31" i="56"/>
  <c r="G29" i="56"/>
  <c r="G30" i="56"/>
  <c r="G31" i="56"/>
  <c r="I17" i="56"/>
  <c r="I23" i="56"/>
  <c r="I20" i="56"/>
  <c r="G25" i="56"/>
  <c r="I16" i="56"/>
  <c r="I19" i="56"/>
  <c r="I4" i="56"/>
  <c r="G11" i="56"/>
  <c r="G14" i="56"/>
  <c r="I6" i="56"/>
  <c r="I12" i="56"/>
  <c r="G16" i="56"/>
  <c r="G5" i="56"/>
  <c r="G19" i="56"/>
  <c r="I9" i="56"/>
  <c r="I5" i="56"/>
  <c r="G2" i="56"/>
  <c r="G10" i="56"/>
  <c r="G8" i="56"/>
  <c r="I21" i="56"/>
  <c r="G13" i="56"/>
  <c r="G21" i="56"/>
  <c r="I22" i="56"/>
  <c r="G4" i="56"/>
  <c r="G9" i="56"/>
  <c r="I15" i="56"/>
  <c r="I7" i="56"/>
  <c r="I2" i="56"/>
  <c r="G6" i="56"/>
  <c r="G28" i="56"/>
  <c r="I24" i="56"/>
  <c r="I18" i="56"/>
  <c r="G7" i="56"/>
  <c r="I14" i="56"/>
  <c r="I11" i="56"/>
  <c r="G3" i="56"/>
  <c r="I8" i="56"/>
  <c r="I3" i="56"/>
  <c r="I10" i="56"/>
  <c r="G22" i="56"/>
  <c r="G12" i="56"/>
  <c r="G24" i="56"/>
  <c r="G26" i="56"/>
  <c r="G27" i="56"/>
  <c r="I25" i="56"/>
  <c r="I28" i="56"/>
  <c r="I27" i="56"/>
  <c r="BX49" i="56"/>
  <c r="BV5" i="56"/>
  <c r="C7" i="59" s="1"/>
  <c r="I48" i="56" l="1"/>
  <c r="J44" i="56" s="1"/>
  <c r="G48" i="56"/>
  <c r="E50" i="59"/>
  <c r="BV6" i="56"/>
  <c r="C8" i="59" s="1"/>
  <c r="J45" i="56" l="1"/>
  <c r="J38" i="56"/>
  <c r="J46" i="56"/>
  <c r="J42" i="56"/>
  <c r="J34" i="56"/>
  <c r="L37" i="56"/>
  <c r="L41" i="56"/>
  <c r="L39" i="56"/>
  <c r="L45" i="56"/>
  <c r="L44" i="56"/>
  <c r="L47" i="56"/>
  <c r="L43" i="56"/>
  <c r="L46" i="56"/>
  <c r="L40" i="56"/>
  <c r="L42" i="56"/>
  <c r="L38" i="56"/>
  <c r="J40" i="56"/>
  <c r="J43" i="56"/>
  <c r="J41" i="56"/>
  <c r="J37" i="56"/>
  <c r="J39" i="56"/>
  <c r="J47" i="56"/>
  <c r="L32" i="56"/>
  <c r="L34" i="56"/>
  <c r="L33" i="56"/>
  <c r="L36" i="56"/>
  <c r="L35" i="56"/>
  <c r="J33" i="56"/>
  <c r="J35" i="56"/>
  <c r="J36" i="56"/>
  <c r="J32" i="56"/>
  <c r="J30" i="56"/>
  <c r="J13" i="56"/>
  <c r="L29" i="56"/>
  <c r="L30" i="56"/>
  <c r="L31" i="56"/>
  <c r="L18" i="56"/>
  <c r="J31" i="56"/>
  <c r="J10" i="56"/>
  <c r="J29" i="56"/>
  <c r="L12" i="56"/>
  <c r="L8" i="56"/>
  <c r="L24" i="56"/>
  <c r="J5" i="56"/>
  <c r="L14" i="56"/>
  <c r="J7" i="56"/>
  <c r="L9" i="56"/>
  <c r="L23" i="56"/>
  <c r="J14" i="56"/>
  <c r="J16" i="56"/>
  <c r="J19" i="56"/>
  <c r="L13" i="56"/>
  <c r="L10" i="56"/>
  <c r="J24" i="56"/>
  <c r="J27" i="56"/>
  <c r="J2" i="56"/>
  <c r="J3" i="56"/>
  <c r="L4" i="56"/>
  <c r="L22" i="56"/>
  <c r="L11" i="56"/>
  <c r="J22" i="56"/>
  <c r="J28" i="56"/>
  <c r="L15" i="56"/>
  <c r="L19" i="56"/>
  <c r="L3" i="56"/>
  <c r="J8" i="56"/>
  <c r="J11" i="56"/>
  <c r="L28" i="56"/>
  <c r="L21" i="56"/>
  <c r="L5" i="56"/>
  <c r="L17" i="56"/>
  <c r="J20" i="56"/>
  <c r="J17" i="56"/>
  <c r="L27" i="56"/>
  <c r="L7" i="56"/>
  <c r="L20" i="56"/>
  <c r="J4" i="56"/>
  <c r="J15" i="56"/>
  <c r="L26" i="56"/>
  <c r="J25" i="56"/>
  <c r="L6" i="56"/>
  <c r="L16" i="56"/>
  <c r="L2" i="56"/>
  <c r="J23" i="56"/>
  <c r="J6" i="56"/>
  <c r="J21" i="56"/>
  <c r="L25" i="56"/>
  <c r="J12" i="56"/>
  <c r="J9" i="56"/>
  <c r="J18" i="56"/>
  <c r="J26" i="56"/>
  <c r="BV7" i="56"/>
  <c r="C9" i="59" s="1"/>
  <c r="J48" i="56" l="1"/>
  <c r="L48" i="56"/>
  <c r="M43" i="56" s="1"/>
  <c r="BV8" i="56"/>
  <c r="C10" i="59" s="1"/>
  <c r="M46" i="56" l="1"/>
  <c r="M41" i="56"/>
  <c r="M42" i="56"/>
  <c r="M39" i="56"/>
  <c r="M47" i="56"/>
  <c r="M38" i="56"/>
  <c r="M32" i="56"/>
  <c r="O37" i="56"/>
  <c r="O39" i="56"/>
  <c r="O44" i="56"/>
  <c r="O43" i="56"/>
  <c r="O41" i="56"/>
  <c r="O45" i="56"/>
  <c r="O47" i="56"/>
  <c r="O40" i="56"/>
  <c r="O38" i="56"/>
  <c r="O42" i="56"/>
  <c r="O46" i="56"/>
  <c r="M37" i="56"/>
  <c r="M45" i="56"/>
  <c r="M40" i="56"/>
  <c r="M44" i="56"/>
  <c r="O34" i="56"/>
  <c r="O36" i="56"/>
  <c r="O35" i="56"/>
  <c r="O32" i="56"/>
  <c r="O33" i="56"/>
  <c r="M36" i="56"/>
  <c r="M34" i="56"/>
  <c r="M33" i="56"/>
  <c r="M35" i="56"/>
  <c r="O25" i="56"/>
  <c r="O31" i="56"/>
  <c r="O30" i="56"/>
  <c r="O29" i="56"/>
  <c r="M31" i="56"/>
  <c r="M30" i="56"/>
  <c r="M29" i="56"/>
  <c r="O21" i="56"/>
  <c r="O7" i="56"/>
  <c r="O6" i="56"/>
  <c r="O4" i="56"/>
  <c r="M16" i="56"/>
  <c r="O12" i="56"/>
  <c r="O22" i="56"/>
  <c r="O9" i="56"/>
  <c r="O18" i="56"/>
  <c r="M6" i="56"/>
  <c r="O15" i="56"/>
  <c r="O23" i="56"/>
  <c r="M22" i="56"/>
  <c r="M8" i="56"/>
  <c r="O24" i="56"/>
  <c r="O2" i="56"/>
  <c r="O5" i="56"/>
  <c r="M2" i="56"/>
  <c r="M10" i="56"/>
  <c r="O11" i="56"/>
  <c r="M11" i="56"/>
  <c r="M13" i="56"/>
  <c r="M23" i="56"/>
  <c r="O20" i="56"/>
  <c r="O19" i="56"/>
  <c r="M19" i="56"/>
  <c r="M17" i="56"/>
  <c r="O28" i="56"/>
  <c r="M7" i="56"/>
  <c r="O8" i="56"/>
  <c r="O13" i="56"/>
  <c r="M18" i="56"/>
  <c r="M24" i="56"/>
  <c r="M9" i="56"/>
  <c r="M12" i="56"/>
  <c r="O3" i="56"/>
  <c r="O10" i="56"/>
  <c r="M14" i="56"/>
  <c r="M15" i="56"/>
  <c r="M5" i="56"/>
  <c r="M25" i="56"/>
  <c r="O27" i="56"/>
  <c r="M4" i="56"/>
  <c r="M28" i="56"/>
  <c r="O26" i="56"/>
  <c r="O17" i="56"/>
  <c r="O14" i="56"/>
  <c r="O16" i="56"/>
  <c r="M21" i="56"/>
  <c r="M3" i="56"/>
  <c r="M20" i="56"/>
  <c r="M26" i="56"/>
  <c r="M27" i="56"/>
  <c r="BV9" i="56"/>
  <c r="C11" i="59" s="1"/>
  <c r="O48" i="56" l="1"/>
  <c r="P44" i="56" s="1"/>
  <c r="M48" i="56"/>
  <c r="BV26" i="56"/>
  <c r="C28" i="59" s="1"/>
  <c r="BV10" i="56"/>
  <c r="C12" i="59" s="1"/>
  <c r="P47" i="56" l="1"/>
  <c r="P38" i="56"/>
  <c r="P39" i="56"/>
  <c r="P42" i="56"/>
  <c r="P45" i="56"/>
  <c r="R37" i="56"/>
  <c r="R45" i="56"/>
  <c r="R47" i="56"/>
  <c r="R39" i="56"/>
  <c r="R41" i="56"/>
  <c r="R44" i="56"/>
  <c r="R43" i="56"/>
  <c r="R38" i="56"/>
  <c r="R42" i="56"/>
  <c r="R46" i="56"/>
  <c r="R40" i="56"/>
  <c r="P46" i="56"/>
  <c r="P40" i="56"/>
  <c r="P43" i="56"/>
  <c r="P37" i="56"/>
  <c r="P41" i="56"/>
  <c r="R34" i="56"/>
  <c r="R36" i="56"/>
  <c r="R32" i="56"/>
  <c r="R33" i="56"/>
  <c r="R35" i="56"/>
  <c r="P36" i="56"/>
  <c r="P32" i="56"/>
  <c r="P33" i="56"/>
  <c r="P35" i="56"/>
  <c r="P34" i="56"/>
  <c r="R29" i="56"/>
  <c r="R30" i="56"/>
  <c r="R31" i="56"/>
  <c r="P30" i="56"/>
  <c r="P31" i="56"/>
  <c r="P29" i="56"/>
  <c r="BV27" i="56"/>
  <c r="C29" i="59" s="1"/>
  <c r="R18" i="56"/>
  <c r="P4" i="56"/>
  <c r="R12" i="56"/>
  <c r="R17" i="56"/>
  <c r="P16" i="56"/>
  <c r="P23" i="56"/>
  <c r="P25" i="56"/>
  <c r="R9" i="56"/>
  <c r="R11" i="56"/>
  <c r="P5" i="56"/>
  <c r="R24" i="56"/>
  <c r="R21" i="56"/>
  <c r="P19" i="56"/>
  <c r="R23" i="56"/>
  <c r="P24" i="56"/>
  <c r="R3" i="56"/>
  <c r="R6" i="56"/>
  <c r="P10" i="56"/>
  <c r="P6" i="56"/>
  <c r="P11" i="56"/>
  <c r="P21" i="56"/>
  <c r="P9" i="56"/>
  <c r="P15" i="56"/>
  <c r="R5" i="56"/>
  <c r="R14" i="56"/>
  <c r="P14" i="56"/>
  <c r="R16" i="56"/>
  <c r="P8" i="56"/>
  <c r="P13" i="56"/>
  <c r="R15" i="56"/>
  <c r="P27" i="56"/>
  <c r="P7" i="56"/>
  <c r="R19" i="56"/>
  <c r="R4" i="56"/>
  <c r="P3" i="56"/>
  <c r="P17" i="56"/>
  <c r="P26" i="56"/>
  <c r="R28" i="56"/>
  <c r="R20" i="56"/>
  <c r="P12" i="56"/>
  <c r="R2" i="56"/>
  <c r="P2" i="56"/>
  <c r="R7" i="56"/>
  <c r="R8" i="56"/>
  <c r="R13" i="56"/>
  <c r="R10" i="56"/>
  <c r="R22" i="56"/>
  <c r="P18" i="56"/>
  <c r="P22" i="56"/>
  <c r="P20" i="56"/>
  <c r="P28" i="56"/>
  <c r="R27" i="56"/>
  <c r="R26" i="56"/>
  <c r="R25" i="56"/>
  <c r="P48" i="56" l="1"/>
  <c r="R48" i="56"/>
  <c r="S38" i="56" s="1"/>
  <c r="BV28" i="56"/>
  <c r="C30" i="59" s="1"/>
  <c r="BV11" i="56"/>
  <c r="C13" i="59" s="1"/>
  <c r="S44" i="56" l="1"/>
  <c r="S47" i="56"/>
  <c r="S43" i="56"/>
  <c r="S46" i="56"/>
  <c r="S37" i="56"/>
  <c r="S42" i="56"/>
  <c r="U37" i="56"/>
  <c r="U39" i="56"/>
  <c r="U47" i="56"/>
  <c r="U41" i="56"/>
  <c r="U43" i="56"/>
  <c r="U44" i="56"/>
  <c r="U45" i="56"/>
  <c r="U38" i="56"/>
  <c r="U42" i="56"/>
  <c r="U40" i="56"/>
  <c r="U46" i="56"/>
  <c r="S40" i="56"/>
  <c r="S39" i="56"/>
  <c r="S45" i="56"/>
  <c r="S41" i="56"/>
  <c r="S29" i="56"/>
  <c r="U36" i="56"/>
  <c r="U32" i="56"/>
  <c r="U33" i="56"/>
  <c r="U34" i="56"/>
  <c r="U35" i="56"/>
  <c r="S32" i="56"/>
  <c r="S34" i="56"/>
  <c r="S33" i="56"/>
  <c r="S36" i="56"/>
  <c r="S35" i="56"/>
  <c r="S30" i="56"/>
  <c r="BV29" i="56"/>
  <c r="C31" i="59" s="1"/>
  <c r="S31" i="56"/>
  <c r="U29" i="56"/>
  <c r="U30" i="56"/>
  <c r="U31" i="56"/>
  <c r="U23" i="56"/>
  <c r="U10" i="56"/>
  <c r="S20" i="56"/>
  <c r="U14" i="56"/>
  <c r="S11" i="56"/>
  <c r="S8" i="56"/>
  <c r="U15" i="56"/>
  <c r="U27" i="56"/>
  <c r="U20" i="56"/>
  <c r="S7" i="56"/>
  <c r="U13" i="56"/>
  <c r="S19" i="56"/>
  <c r="U3" i="56"/>
  <c r="U22" i="56"/>
  <c r="S26" i="56"/>
  <c r="U6" i="56"/>
  <c r="S10" i="56"/>
  <c r="U17" i="56"/>
  <c r="S3" i="56"/>
  <c r="U25" i="56"/>
  <c r="S18" i="56"/>
  <c r="S25" i="56"/>
  <c r="U24" i="56"/>
  <c r="S15" i="56"/>
  <c r="U5" i="56"/>
  <c r="U28" i="56"/>
  <c r="S16" i="56"/>
  <c r="U12" i="56"/>
  <c r="S9" i="56"/>
  <c r="U26" i="56"/>
  <c r="U16" i="56"/>
  <c r="S5" i="56"/>
  <c r="S13" i="56"/>
  <c r="U21" i="56"/>
  <c r="U7" i="56"/>
  <c r="S6" i="56"/>
  <c r="S22" i="56"/>
  <c r="S21" i="56"/>
  <c r="S23" i="56"/>
  <c r="U18" i="56"/>
  <c r="S17" i="56"/>
  <c r="U4" i="56"/>
  <c r="S24" i="56"/>
  <c r="S12" i="56"/>
  <c r="U11" i="56"/>
  <c r="S27" i="56"/>
  <c r="U19" i="56"/>
  <c r="U2" i="56"/>
  <c r="U8" i="56"/>
  <c r="U9" i="56"/>
  <c r="S4" i="56"/>
  <c r="S14" i="56"/>
  <c r="S2" i="56"/>
  <c r="S28" i="56"/>
  <c r="BV12" i="56"/>
  <c r="C14" i="59" s="1"/>
  <c r="U48" i="56" l="1"/>
  <c r="V44" i="56" s="1"/>
  <c r="S48" i="56"/>
  <c r="BV30" i="56"/>
  <c r="BV13" i="56"/>
  <c r="C15" i="59" s="1"/>
  <c r="C32" i="59" l="1"/>
  <c r="V45" i="56"/>
  <c r="V35" i="56"/>
  <c r="X37" i="56"/>
  <c r="X47" i="56"/>
  <c r="X43" i="56"/>
  <c r="X41" i="56"/>
  <c r="X39" i="56"/>
  <c r="X44" i="56"/>
  <c r="X45" i="56"/>
  <c r="X46" i="56"/>
  <c r="X42" i="56"/>
  <c r="X40" i="56"/>
  <c r="X38" i="56"/>
  <c r="V38" i="56"/>
  <c r="V37" i="56"/>
  <c r="V42" i="56"/>
  <c r="V41" i="56"/>
  <c r="V40" i="56"/>
  <c r="V47" i="56"/>
  <c r="V46" i="56"/>
  <c r="V39" i="56"/>
  <c r="V43" i="56"/>
  <c r="BV31" i="56"/>
  <c r="C33" i="59" s="1"/>
  <c r="V19" i="56"/>
  <c r="V34" i="56"/>
  <c r="V32" i="56"/>
  <c r="X27" i="56"/>
  <c r="X33" i="56"/>
  <c r="X34" i="56"/>
  <c r="X35" i="56"/>
  <c r="X36" i="56"/>
  <c r="X32" i="56"/>
  <c r="V33" i="56"/>
  <c r="X24" i="56"/>
  <c r="V36" i="56"/>
  <c r="V28" i="56"/>
  <c r="X11" i="56"/>
  <c r="X6" i="56"/>
  <c r="X8" i="56"/>
  <c r="X20" i="56"/>
  <c r="X18" i="56"/>
  <c r="V20" i="56"/>
  <c r="X5" i="56"/>
  <c r="X23" i="56"/>
  <c r="X13" i="56"/>
  <c r="X12" i="56"/>
  <c r="V6" i="56"/>
  <c r="V10" i="56"/>
  <c r="V16" i="56"/>
  <c r="V12" i="56"/>
  <c r="V18" i="56"/>
  <c r="V30" i="56"/>
  <c r="X22" i="56"/>
  <c r="X9" i="56"/>
  <c r="X3" i="56"/>
  <c r="V2" i="56"/>
  <c r="V4" i="56"/>
  <c r="V31" i="56"/>
  <c r="V9" i="56"/>
  <c r="X2" i="56"/>
  <c r="X15" i="56"/>
  <c r="X17" i="56"/>
  <c r="X16" i="56"/>
  <c r="V21" i="56"/>
  <c r="V11" i="56"/>
  <c r="V29" i="56"/>
  <c r="X14" i="56"/>
  <c r="X4" i="56"/>
  <c r="X10" i="56"/>
  <c r="X7" i="56"/>
  <c r="V14" i="56"/>
  <c r="X21" i="56"/>
  <c r="X19" i="56"/>
  <c r="V8" i="56"/>
  <c r="V5" i="56"/>
  <c r="V27" i="56"/>
  <c r="V23" i="56"/>
  <c r="X30" i="56"/>
  <c r="X31" i="56"/>
  <c r="X29" i="56"/>
  <c r="V24" i="56"/>
  <c r="V7" i="56"/>
  <c r="V22" i="56"/>
  <c r="V3" i="56"/>
  <c r="V17" i="56"/>
  <c r="V25" i="56"/>
  <c r="V15" i="56"/>
  <c r="X26" i="56"/>
  <c r="V13" i="56"/>
  <c r="X25" i="56"/>
  <c r="V26" i="56"/>
  <c r="X28" i="56"/>
  <c r="BV14" i="56"/>
  <c r="C16" i="59" s="1"/>
  <c r="V48" i="56" l="1"/>
  <c r="X48" i="56"/>
  <c r="Y39" i="56" s="1"/>
  <c r="BV32" i="56"/>
  <c r="C34" i="59" s="1"/>
  <c r="BV15" i="56"/>
  <c r="C17" i="59" s="1"/>
  <c r="Y45" i="56" l="1"/>
  <c r="Y43" i="56"/>
  <c r="Y46" i="56"/>
  <c r="Y47" i="56"/>
  <c r="Y40" i="56"/>
  <c r="Y38" i="56"/>
  <c r="Y41" i="56"/>
  <c r="Y33" i="56"/>
  <c r="AA37" i="56"/>
  <c r="AA44" i="56"/>
  <c r="AA47" i="56"/>
  <c r="AA45" i="56"/>
  <c r="AA41" i="56"/>
  <c r="AA39" i="56"/>
  <c r="AA43" i="56"/>
  <c r="AA46" i="56"/>
  <c r="AA38" i="56"/>
  <c r="AA40" i="56"/>
  <c r="AA42" i="56"/>
  <c r="Y37" i="56"/>
  <c r="Y44" i="56"/>
  <c r="Y42" i="56"/>
  <c r="BV33" i="56"/>
  <c r="C35" i="59" s="1"/>
  <c r="Y17" i="56"/>
  <c r="AA24" i="56"/>
  <c r="Y10" i="56"/>
  <c r="AA18" i="56"/>
  <c r="AA3" i="56"/>
  <c r="AA20" i="56"/>
  <c r="AA21" i="56"/>
  <c r="AA11" i="56"/>
  <c r="AA15" i="56"/>
  <c r="AA6" i="56"/>
  <c r="Y32" i="56"/>
  <c r="Y14" i="56"/>
  <c r="AA23" i="56"/>
  <c r="AA14" i="56"/>
  <c r="Y15" i="56"/>
  <c r="Y29" i="56"/>
  <c r="AA33" i="56"/>
  <c r="AA32" i="56"/>
  <c r="AA35" i="56"/>
  <c r="AA34" i="56"/>
  <c r="AA36" i="56"/>
  <c r="Y34" i="56"/>
  <c r="Y18" i="56"/>
  <c r="AA4" i="56"/>
  <c r="Y19" i="56"/>
  <c r="Y36" i="56"/>
  <c r="Y35" i="56"/>
  <c r="Y6" i="56"/>
  <c r="Y27" i="56"/>
  <c r="Y4" i="56"/>
  <c r="AA17" i="56"/>
  <c r="Y20" i="56"/>
  <c r="Y7" i="56"/>
  <c r="Y13" i="56"/>
  <c r="AA22" i="56"/>
  <c r="AA19" i="56"/>
  <c r="AA10" i="56"/>
  <c r="AA5" i="56"/>
  <c r="Y2" i="56"/>
  <c r="Y9" i="56"/>
  <c r="Y8" i="56"/>
  <c r="Y30" i="56"/>
  <c r="Y11" i="56"/>
  <c r="Y31" i="56"/>
  <c r="AA7" i="56"/>
  <c r="Y23" i="56"/>
  <c r="Y3" i="56"/>
  <c r="AA16" i="56"/>
  <c r="AA8" i="56"/>
  <c r="AA2" i="56"/>
  <c r="Y24" i="56"/>
  <c r="Y22" i="56"/>
  <c r="AA12" i="56"/>
  <c r="AA13" i="56"/>
  <c r="AA9" i="56"/>
  <c r="Y12" i="56"/>
  <c r="Y16" i="56"/>
  <c r="Y28" i="56"/>
  <c r="AA28" i="56"/>
  <c r="AA30" i="56"/>
  <c r="AA29" i="56"/>
  <c r="AA31" i="56"/>
  <c r="Y5" i="56"/>
  <c r="Y21" i="56"/>
  <c r="AA26" i="56"/>
  <c r="AA25" i="56"/>
  <c r="AA27" i="56"/>
  <c r="Y25" i="56"/>
  <c r="Y26" i="56"/>
  <c r="BV16" i="56"/>
  <c r="C18" i="59" s="1"/>
  <c r="Y48" i="56" l="1"/>
  <c r="AA48" i="56"/>
  <c r="AB44" i="56" s="1"/>
  <c r="BV34" i="56"/>
  <c r="C36" i="59" s="1"/>
  <c r="BV17" i="56"/>
  <c r="C19" i="59" s="1"/>
  <c r="AB33" i="56" l="1"/>
  <c r="AD37" i="56"/>
  <c r="AD45" i="56"/>
  <c r="AD39" i="56"/>
  <c r="AD41" i="56"/>
  <c r="AD47" i="56"/>
  <c r="AD44" i="56"/>
  <c r="AD43" i="56"/>
  <c r="AD40" i="56"/>
  <c r="AD42" i="56"/>
  <c r="AD38" i="56"/>
  <c r="AD46" i="56"/>
  <c r="AB47" i="56"/>
  <c r="AB38" i="56"/>
  <c r="AB40" i="56"/>
  <c r="AB46" i="56"/>
  <c r="AB42" i="56"/>
  <c r="AB45" i="56"/>
  <c r="AB37" i="56"/>
  <c r="AB39" i="56"/>
  <c r="AB41" i="56"/>
  <c r="AB43" i="56"/>
  <c r="BV35" i="56"/>
  <c r="C37" i="59" s="1"/>
  <c r="AD13" i="56"/>
  <c r="AD19" i="56"/>
  <c r="AD3" i="56"/>
  <c r="AB16" i="56"/>
  <c r="AD5" i="56"/>
  <c r="AB11" i="56"/>
  <c r="AD20" i="56"/>
  <c r="AD22" i="56"/>
  <c r="AD17" i="56"/>
  <c r="AB19" i="56"/>
  <c r="AB20" i="56"/>
  <c r="AD24" i="56"/>
  <c r="AB23" i="56"/>
  <c r="AB3" i="56"/>
  <c r="AD8" i="56"/>
  <c r="AB18" i="56"/>
  <c r="AD16" i="56"/>
  <c r="AB5" i="56"/>
  <c r="AD12" i="56"/>
  <c r="AB17" i="56"/>
  <c r="AD2" i="56"/>
  <c r="AB10" i="56"/>
  <c r="AB14" i="56"/>
  <c r="AB25" i="56"/>
  <c r="AD26" i="56"/>
  <c r="AB31" i="56"/>
  <c r="AD4" i="56"/>
  <c r="AD21" i="56"/>
  <c r="AB12" i="56"/>
  <c r="AB2" i="56"/>
  <c r="AB8" i="56"/>
  <c r="AB28" i="56"/>
  <c r="AB29" i="56"/>
  <c r="AB9" i="56"/>
  <c r="AD23" i="56"/>
  <c r="AB21" i="56"/>
  <c r="AB22" i="56"/>
  <c r="AB35" i="56"/>
  <c r="AD11" i="56"/>
  <c r="AD7" i="56"/>
  <c r="AB7" i="56"/>
  <c r="AB24" i="56"/>
  <c r="AB6" i="56"/>
  <c r="AD28" i="56"/>
  <c r="AB34" i="56"/>
  <c r="AB27" i="56"/>
  <c r="AD18" i="56"/>
  <c r="AD10" i="56"/>
  <c r="AD25" i="56"/>
  <c r="AD15" i="56"/>
  <c r="AD9" i="56"/>
  <c r="AD14" i="56"/>
  <c r="AD6" i="56"/>
  <c r="AB15" i="56"/>
  <c r="AB13" i="56"/>
  <c r="AB4" i="56"/>
  <c r="AD27" i="56"/>
  <c r="AB36" i="56"/>
  <c r="AB30" i="56"/>
  <c r="AD35" i="56"/>
  <c r="AD36" i="56"/>
  <c r="AD32" i="56"/>
  <c r="AD33" i="56"/>
  <c r="AD34" i="56"/>
  <c r="AB32" i="56"/>
  <c r="AD30" i="56"/>
  <c r="AD29" i="56"/>
  <c r="AD31" i="56"/>
  <c r="AB26" i="56"/>
  <c r="AB48" i="56" l="1"/>
  <c r="AD48" i="56"/>
  <c r="AE47" i="56" s="1"/>
  <c r="BV36" i="56"/>
  <c r="C38" i="59" s="1"/>
  <c r="BV18" i="56"/>
  <c r="C20" i="59" s="1"/>
  <c r="AE39" i="56" l="1"/>
  <c r="AE40" i="56"/>
  <c r="AE41" i="56"/>
  <c r="AE42" i="56"/>
  <c r="AE46" i="56"/>
  <c r="AE45" i="56"/>
  <c r="AE38" i="56"/>
  <c r="AE43" i="56"/>
  <c r="AE6" i="56"/>
  <c r="AG37" i="56"/>
  <c r="AG44" i="56"/>
  <c r="AG47" i="56"/>
  <c r="AG41" i="56"/>
  <c r="AG39" i="56"/>
  <c r="AG45" i="56"/>
  <c r="AG43" i="56"/>
  <c r="AG46" i="56"/>
  <c r="AG42" i="56"/>
  <c r="AG40" i="56"/>
  <c r="AG38" i="56"/>
  <c r="AE37" i="56"/>
  <c r="AE44" i="56"/>
  <c r="AG16" i="56"/>
  <c r="AG8" i="56"/>
  <c r="AG7" i="56"/>
  <c r="AE15" i="56"/>
  <c r="AE19" i="56"/>
  <c r="AE4" i="56"/>
  <c r="AG12" i="56"/>
  <c r="AG11" i="56"/>
  <c r="AG3" i="56"/>
  <c r="AG15" i="56"/>
  <c r="AG25" i="56"/>
  <c r="AG2" i="56"/>
  <c r="AG28" i="56"/>
  <c r="AG20" i="56"/>
  <c r="AE21" i="56"/>
  <c r="AG27" i="56"/>
  <c r="AE8" i="56"/>
  <c r="AG30" i="56"/>
  <c r="AG29" i="56"/>
  <c r="AG32" i="56"/>
  <c r="AG34" i="56"/>
  <c r="AG35" i="56"/>
  <c r="AG33" i="56"/>
  <c r="AG36" i="56"/>
  <c r="AE24" i="56"/>
  <c r="AE25" i="56"/>
  <c r="AG26" i="56"/>
  <c r="AE32" i="56"/>
  <c r="AE9" i="56"/>
  <c r="AE30" i="56"/>
  <c r="AE33" i="56"/>
  <c r="AG5" i="56"/>
  <c r="AG23" i="56"/>
  <c r="AG10" i="56"/>
  <c r="AG9" i="56"/>
  <c r="AE18" i="56"/>
  <c r="AE29" i="56"/>
  <c r="AE34" i="56"/>
  <c r="AE10" i="56"/>
  <c r="AE11" i="56"/>
  <c r="AE28" i="56"/>
  <c r="AG18" i="56"/>
  <c r="AE26" i="56"/>
  <c r="AG17" i="56"/>
  <c r="AE5" i="56"/>
  <c r="AE20" i="56"/>
  <c r="AE2" i="56"/>
  <c r="AE27" i="56"/>
  <c r="AE31" i="56"/>
  <c r="AE35" i="56"/>
  <c r="AE3" i="56"/>
  <c r="AG14" i="56"/>
  <c r="AE17" i="56"/>
  <c r="AG4" i="56"/>
  <c r="AE16" i="56"/>
  <c r="AG19" i="56"/>
  <c r="AE12" i="56"/>
  <c r="AE23" i="56"/>
  <c r="AG13" i="56"/>
  <c r="AG24" i="56"/>
  <c r="AG6" i="56"/>
  <c r="AG21" i="56"/>
  <c r="AG22" i="56"/>
  <c r="AE13" i="56"/>
  <c r="AE22" i="56"/>
  <c r="AE7" i="56"/>
  <c r="AE14" i="56"/>
  <c r="AG31" i="56"/>
  <c r="AE36" i="56"/>
  <c r="BV19" i="56"/>
  <c r="C21" i="59" s="1"/>
  <c r="AE48" i="56" l="1"/>
  <c r="AG48" i="56"/>
  <c r="AH46" i="56" s="1"/>
  <c r="BV20" i="56"/>
  <c r="C22" i="59" l="1"/>
  <c r="BV48" i="56"/>
  <c r="AH33" i="56"/>
  <c r="AJ37" i="56"/>
  <c r="AJ47" i="56"/>
  <c r="AJ43" i="56"/>
  <c r="AJ39" i="56"/>
  <c r="AJ44" i="56"/>
  <c r="AJ41" i="56"/>
  <c r="AJ45" i="56"/>
  <c r="AJ38" i="56"/>
  <c r="AJ46" i="56"/>
  <c r="AJ40" i="56"/>
  <c r="AJ42" i="56"/>
  <c r="AH37" i="56"/>
  <c r="AH42" i="56"/>
  <c r="AH38" i="56"/>
  <c r="AH47" i="56"/>
  <c r="AH45" i="56"/>
  <c r="AH44" i="56"/>
  <c r="AH41" i="56"/>
  <c r="AH43" i="56"/>
  <c r="AH39" i="56"/>
  <c r="AH40" i="56"/>
  <c r="AJ17" i="56"/>
  <c r="AJ16" i="56"/>
  <c r="AH9" i="56"/>
  <c r="AH5" i="56"/>
  <c r="AJ20" i="56"/>
  <c r="AH18" i="56"/>
  <c r="AJ23" i="56"/>
  <c r="AH23" i="56"/>
  <c r="AJ5" i="56"/>
  <c r="AH20" i="56"/>
  <c r="AJ7" i="56"/>
  <c r="AJ13" i="56"/>
  <c r="AJ4" i="56"/>
  <c r="AJ6" i="56"/>
  <c r="AJ14" i="56"/>
  <c r="AJ21" i="56"/>
  <c r="AJ22" i="56"/>
  <c r="AJ8" i="56"/>
  <c r="AJ10" i="56"/>
  <c r="AJ19" i="56"/>
  <c r="AJ15" i="56"/>
  <c r="AJ2" i="56"/>
  <c r="AJ12" i="56"/>
  <c r="AH11" i="56"/>
  <c r="AJ9" i="56"/>
  <c r="AH3" i="56"/>
  <c r="AH10" i="56"/>
  <c r="AH16" i="56"/>
  <c r="AH17" i="56"/>
  <c r="AH7" i="56"/>
  <c r="AJ24" i="56"/>
  <c r="AH14" i="56"/>
  <c r="AH27" i="56"/>
  <c r="AH22" i="56"/>
  <c r="AJ28" i="56"/>
  <c r="AH13" i="56"/>
  <c r="AJ27" i="56"/>
  <c r="AJ25" i="56"/>
  <c r="AJ18" i="56"/>
  <c r="AH15" i="56"/>
  <c r="AH4" i="56"/>
  <c r="AH30" i="56"/>
  <c r="AH12" i="56"/>
  <c r="AH34" i="56"/>
  <c r="AH19" i="56"/>
  <c r="AH32" i="56"/>
  <c r="AJ11" i="56"/>
  <c r="AH2" i="56"/>
  <c r="AH8" i="56"/>
  <c r="AH26" i="56"/>
  <c r="AH28" i="56"/>
  <c r="AH36" i="56"/>
  <c r="AJ36" i="56"/>
  <c r="AH21" i="56"/>
  <c r="AJ3" i="56"/>
  <c r="AJ26" i="56"/>
  <c r="AJ35" i="56"/>
  <c r="AJ31" i="56"/>
  <c r="AJ29" i="56"/>
  <c r="AJ33" i="56"/>
  <c r="AH6" i="56"/>
  <c r="AH24" i="56"/>
  <c r="AH25" i="56"/>
  <c r="AH31" i="56"/>
  <c r="AJ34" i="56"/>
  <c r="AJ32" i="56"/>
  <c r="AH35" i="56"/>
  <c r="AH29" i="56"/>
  <c r="AJ30" i="56"/>
  <c r="BV21" i="56"/>
  <c r="C23" i="59" s="1"/>
  <c r="AH48" i="56" l="1"/>
  <c r="AJ48" i="56"/>
  <c r="AK41" i="56" s="1"/>
  <c r="BV22" i="56"/>
  <c r="C24" i="59" s="1"/>
  <c r="AK38" i="56" l="1"/>
  <c r="AK39" i="56"/>
  <c r="AK37" i="56"/>
  <c r="AK46" i="56"/>
  <c r="AK40" i="56"/>
  <c r="AK43" i="56"/>
  <c r="AK42" i="56"/>
  <c r="AK44" i="56"/>
  <c r="AK35" i="56"/>
  <c r="AM37" i="56"/>
  <c r="AM39" i="56"/>
  <c r="AM44" i="56"/>
  <c r="AM41" i="56"/>
  <c r="AM43" i="56"/>
  <c r="AM45" i="56"/>
  <c r="AM47" i="56"/>
  <c r="AM42" i="56"/>
  <c r="AM46" i="56"/>
  <c r="AM38" i="56"/>
  <c r="AM40" i="56"/>
  <c r="AK47" i="56"/>
  <c r="AK45" i="56"/>
  <c r="AM8" i="56"/>
  <c r="AK7" i="56"/>
  <c r="AM24" i="56"/>
  <c r="AM14" i="56"/>
  <c r="AM7" i="56"/>
  <c r="AM15" i="56"/>
  <c r="AM20" i="56"/>
  <c r="AK13" i="56"/>
  <c r="AM12" i="56"/>
  <c r="AM22" i="56"/>
  <c r="AK16" i="56"/>
  <c r="AM18" i="56"/>
  <c r="AM5" i="56"/>
  <c r="AK12" i="56"/>
  <c r="AM4" i="56"/>
  <c r="AM23" i="56"/>
  <c r="AM11" i="56"/>
  <c r="AM21" i="56"/>
  <c r="AM9" i="56"/>
  <c r="AK6" i="56"/>
  <c r="AM19" i="56"/>
  <c r="AM13" i="56"/>
  <c r="AK22" i="56"/>
  <c r="AK17" i="56"/>
  <c r="AK15" i="56"/>
  <c r="AK2" i="56"/>
  <c r="AK25" i="56"/>
  <c r="AM3" i="56"/>
  <c r="AK9" i="56"/>
  <c r="AK8" i="56"/>
  <c r="AM25" i="56"/>
  <c r="AM2" i="56"/>
  <c r="AK10" i="56"/>
  <c r="AK3" i="56"/>
  <c r="AM33" i="56"/>
  <c r="AM32" i="56"/>
  <c r="AK5" i="56"/>
  <c r="AK4" i="56"/>
  <c r="AK23" i="56"/>
  <c r="AM36" i="56"/>
  <c r="AM17" i="56"/>
  <c r="AM16" i="56"/>
  <c r="AM10" i="56"/>
  <c r="AK18" i="56"/>
  <c r="AK19" i="56"/>
  <c r="AK14" i="56"/>
  <c r="AM35" i="56"/>
  <c r="AK27" i="56"/>
  <c r="AM6" i="56"/>
  <c r="AK20" i="56"/>
  <c r="AK24" i="56"/>
  <c r="AK28" i="56"/>
  <c r="AM34" i="56"/>
  <c r="AK11" i="56"/>
  <c r="AM26" i="56"/>
  <c r="AK21" i="56"/>
  <c r="AM27" i="56"/>
  <c r="AK32" i="56"/>
  <c r="AK26" i="56"/>
  <c r="AK31" i="56"/>
  <c r="AK30" i="56"/>
  <c r="AK29" i="56"/>
  <c r="AM30" i="56"/>
  <c r="AM28" i="56"/>
  <c r="AM29" i="56"/>
  <c r="AM31" i="56"/>
  <c r="AK33" i="56"/>
  <c r="AK36" i="56"/>
  <c r="AK34" i="56"/>
  <c r="BV23" i="56"/>
  <c r="C25" i="59" s="1"/>
  <c r="AK48" i="56" l="1"/>
  <c r="AM48" i="56"/>
  <c r="AN39" i="56" s="1"/>
  <c r="BV24" i="56"/>
  <c r="C26" i="59" s="1"/>
  <c r="AN37" i="56" l="1"/>
  <c r="AN47" i="56"/>
  <c r="AN32" i="56"/>
  <c r="AP37" i="56"/>
  <c r="AP44" i="56"/>
  <c r="AP47" i="56"/>
  <c r="AP39" i="56"/>
  <c r="AP43" i="56"/>
  <c r="AP45" i="56"/>
  <c r="AP41" i="56"/>
  <c r="AP42" i="56"/>
  <c r="AP46" i="56"/>
  <c r="AP38" i="56"/>
  <c r="AP40" i="56"/>
  <c r="AN42" i="56"/>
  <c r="AN46" i="56"/>
  <c r="AN43" i="56"/>
  <c r="AN44" i="56"/>
  <c r="AN38" i="56"/>
  <c r="AN40" i="56"/>
  <c r="AN45" i="56"/>
  <c r="AN41" i="56"/>
  <c r="AP11" i="56"/>
  <c r="AN19" i="56"/>
  <c r="AN8" i="56"/>
  <c r="AP23" i="56"/>
  <c r="AN11" i="56"/>
  <c r="AP24" i="56"/>
  <c r="AP14" i="56"/>
  <c r="AP12" i="56"/>
  <c r="AP28" i="56"/>
  <c r="AP10" i="56"/>
  <c r="AP27" i="56"/>
  <c r="AP26" i="56"/>
  <c r="AP22" i="56"/>
  <c r="AP16" i="56"/>
  <c r="AN29" i="56"/>
  <c r="AN2" i="56"/>
  <c r="AN15" i="56"/>
  <c r="AP4" i="56"/>
  <c r="AP2" i="56"/>
  <c r="AN24" i="56"/>
  <c r="AP18" i="56"/>
  <c r="AN12" i="56"/>
  <c r="AP5" i="56"/>
  <c r="AP8" i="56"/>
  <c r="AN9" i="56"/>
  <c r="AN31" i="56"/>
  <c r="AN36" i="56"/>
  <c r="AN3" i="56"/>
  <c r="AN4" i="56"/>
  <c r="AN23" i="56"/>
  <c r="AN16" i="56"/>
  <c r="AN34" i="56"/>
  <c r="AP6" i="56"/>
  <c r="AP19" i="56"/>
  <c r="AN21" i="56"/>
  <c r="AN7" i="56"/>
  <c r="AN25" i="56"/>
  <c r="AN30" i="56"/>
  <c r="AP36" i="56"/>
  <c r="AP7" i="56"/>
  <c r="AP17" i="56"/>
  <c r="AN5" i="56"/>
  <c r="AN22" i="56"/>
  <c r="AN26" i="56"/>
  <c r="AP31" i="56"/>
  <c r="AP35" i="56"/>
  <c r="AP9" i="56"/>
  <c r="AN17" i="56"/>
  <c r="AN20" i="56"/>
  <c r="AN6" i="56"/>
  <c r="AN28" i="56"/>
  <c r="AP30" i="56"/>
  <c r="AP33" i="56"/>
  <c r="AP20" i="56"/>
  <c r="AP15" i="56"/>
  <c r="AP21" i="56"/>
  <c r="AP13" i="56"/>
  <c r="AP3" i="56"/>
  <c r="AN14" i="56"/>
  <c r="AN10" i="56"/>
  <c r="AN13" i="56"/>
  <c r="AN27" i="56"/>
  <c r="AP29" i="56"/>
  <c r="AP32" i="56"/>
  <c r="AN18" i="56"/>
  <c r="AP25" i="56"/>
  <c r="AN35" i="56"/>
  <c r="AP34" i="56"/>
  <c r="AN33" i="56"/>
  <c r="AN48" i="56" l="1"/>
  <c r="AP48" i="56"/>
  <c r="AQ41" i="56" s="1"/>
  <c r="BV25" i="56"/>
  <c r="AQ39" i="56" l="1"/>
  <c r="AQ37" i="56"/>
  <c r="AQ46" i="56"/>
  <c r="AQ43" i="56"/>
  <c r="AQ44" i="56"/>
  <c r="AQ47" i="56"/>
  <c r="AQ40" i="56"/>
  <c r="AQ42" i="56"/>
  <c r="AQ45" i="56"/>
  <c r="AQ31" i="56"/>
  <c r="AS37" i="56"/>
  <c r="AS41" i="56"/>
  <c r="AS47" i="56"/>
  <c r="AS44" i="56"/>
  <c r="AS45" i="56"/>
  <c r="AS39" i="56"/>
  <c r="AS43" i="56"/>
  <c r="AS42" i="56"/>
  <c r="AS38" i="56"/>
  <c r="AS40" i="56"/>
  <c r="AS46" i="56"/>
  <c r="AQ38" i="56"/>
  <c r="AS24" i="56"/>
  <c r="AQ14" i="56"/>
  <c r="AQ23" i="56"/>
  <c r="AS11" i="56"/>
  <c r="AQ9" i="56"/>
  <c r="AS27" i="56"/>
  <c r="AS3" i="56"/>
  <c r="AS17" i="56"/>
  <c r="AS22" i="56"/>
  <c r="AQ3" i="56"/>
  <c r="AQ10" i="56"/>
  <c r="AQ24" i="56"/>
  <c r="AQ25" i="56"/>
  <c r="AQ36" i="56"/>
  <c r="AQ8" i="56"/>
  <c r="AS10" i="56"/>
  <c r="AS2" i="56"/>
  <c r="AQ4" i="56"/>
  <c r="AQ27" i="56"/>
  <c r="AQ32" i="56"/>
  <c r="AS4" i="56"/>
  <c r="AQ13" i="56"/>
  <c r="AQ34" i="56"/>
  <c r="AS21" i="56"/>
  <c r="AS8" i="56"/>
  <c r="AQ20" i="56"/>
  <c r="AS30" i="56"/>
  <c r="AS19" i="56"/>
  <c r="AQ22" i="56"/>
  <c r="AQ5" i="56"/>
  <c r="AQ18" i="56"/>
  <c r="AS31" i="56"/>
  <c r="AS35" i="56"/>
  <c r="AQ29" i="56"/>
  <c r="AS9" i="56"/>
  <c r="AS7" i="56"/>
  <c r="AQ16" i="56"/>
  <c r="AQ2" i="56"/>
  <c r="AS26" i="56"/>
  <c r="AQ30" i="56"/>
  <c r="AS15" i="56"/>
  <c r="AS12" i="56"/>
  <c r="AQ12" i="56"/>
  <c r="AS25" i="56"/>
  <c r="AS13" i="56"/>
  <c r="AS23" i="56"/>
  <c r="AQ19" i="56"/>
  <c r="AQ28" i="56"/>
  <c r="AS6" i="56"/>
  <c r="AQ21" i="56"/>
  <c r="AQ7" i="56"/>
  <c r="AQ26" i="56"/>
  <c r="AS34" i="56"/>
  <c r="AS5" i="56"/>
  <c r="AS20" i="56"/>
  <c r="AQ17" i="56"/>
  <c r="AS14" i="56"/>
  <c r="AS16" i="56"/>
  <c r="AS18" i="56"/>
  <c r="AQ6" i="56"/>
  <c r="AQ11" i="56"/>
  <c r="AQ15" i="56"/>
  <c r="AS28" i="56"/>
  <c r="AS29" i="56"/>
  <c r="AS33" i="56"/>
  <c r="AS32" i="56"/>
  <c r="AQ35" i="56"/>
  <c r="AS36" i="56"/>
  <c r="AQ33" i="56"/>
  <c r="C50" i="56"/>
  <c r="BW50" i="56"/>
  <c r="C27" i="59"/>
  <c r="AS48" i="56" l="1"/>
  <c r="AT42" i="56" s="1"/>
  <c r="AQ48" i="56"/>
  <c r="C48" i="59"/>
  <c r="C51" i="59"/>
  <c r="BX50" i="56"/>
  <c r="AT39" i="56" l="1"/>
  <c r="AT32" i="56"/>
  <c r="AV37" i="56"/>
  <c r="AV39" i="56"/>
  <c r="AV41" i="56"/>
  <c r="AV44" i="56"/>
  <c r="AV47" i="56"/>
  <c r="AV45" i="56"/>
  <c r="AV43" i="56"/>
  <c r="AV40" i="56"/>
  <c r="AV38" i="56"/>
  <c r="AV46" i="56"/>
  <c r="AV42" i="56"/>
  <c r="AT44" i="56"/>
  <c r="AT38" i="56"/>
  <c r="AT47" i="56"/>
  <c r="AT43" i="56"/>
  <c r="AT41" i="56"/>
  <c r="AT40" i="56"/>
  <c r="AT45" i="56"/>
  <c r="AT37" i="56"/>
  <c r="AT46" i="56"/>
  <c r="AT9" i="56"/>
  <c r="AT28" i="56"/>
  <c r="AV12" i="56"/>
  <c r="AV3" i="56"/>
  <c r="AV16" i="56"/>
  <c r="AT25" i="56"/>
  <c r="AV22" i="56"/>
  <c r="AV7" i="56"/>
  <c r="AV9" i="56"/>
  <c r="AV23" i="56"/>
  <c r="AV28" i="56"/>
  <c r="AV24" i="56"/>
  <c r="AT17" i="56"/>
  <c r="AT22" i="56"/>
  <c r="AT14" i="56"/>
  <c r="AT7" i="56"/>
  <c r="AT23" i="56"/>
  <c r="AT13" i="56"/>
  <c r="AT33" i="56"/>
  <c r="AV32" i="56"/>
  <c r="AT26" i="56"/>
  <c r="AV13" i="56"/>
  <c r="AV18" i="56"/>
  <c r="AV19" i="56"/>
  <c r="AV5" i="56"/>
  <c r="AT21" i="56"/>
  <c r="AT2" i="56"/>
  <c r="AT16" i="56"/>
  <c r="AT3" i="56"/>
  <c r="AV29" i="56"/>
  <c r="AV8" i="56"/>
  <c r="AV4" i="56"/>
  <c r="AV15" i="56"/>
  <c r="AT10" i="56"/>
  <c r="AT5" i="56"/>
  <c r="AT11" i="56"/>
  <c r="AV27" i="56"/>
  <c r="AV31" i="56"/>
  <c r="AV2" i="56"/>
  <c r="AV6" i="56"/>
  <c r="AV21" i="56"/>
  <c r="AT20" i="56"/>
  <c r="AT24" i="56"/>
  <c r="AT4" i="56"/>
  <c r="AT27" i="56"/>
  <c r="AV10" i="56"/>
  <c r="AV17" i="56"/>
  <c r="AT18" i="56"/>
  <c r="AT19" i="56"/>
  <c r="AT12" i="56"/>
  <c r="AV26" i="56"/>
  <c r="AV30" i="56"/>
  <c r="AV20" i="56"/>
  <c r="AV11" i="56"/>
  <c r="AV14" i="56"/>
  <c r="AT8" i="56"/>
  <c r="AT6" i="56"/>
  <c r="AT15" i="56"/>
  <c r="AV25" i="56"/>
  <c r="AT34" i="56"/>
  <c r="AT29" i="56"/>
  <c r="AT31" i="56"/>
  <c r="AV36" i="56"/>
  <c r="AV34" i="56"/>
  <c r="AV35" i="56"/>
  <c r="AT36" i="56"/>
  <c r="AV33" i="56"/>
  <c r="AT35" i="56"/>
  <c r="AT30" i="56"/>
  <c r="AV48" i="56" l="1"/>
  <c r="AY39" i="56" s="1"/>
  <c r="AT48" i="56"/>
  <c r="AW11" i="56" l="1"/>
  <c r="AW17" i="56"/>
  <c r="AW8" i="56"/>
  <c r="AW33" i="56"/>
  <c r="AY22" i="56"/>
  <c r="AY27" i="56"/>
  <c r="AW2" i="56"/>
  <c r="AY4" i="56"/>
  <c r="AY5" i="56"/>
  <c r="AW42" i="56"/>
  <c r="AW45" i="56"/>
  <c r="AY47" i="56"/>
  <c r="AY33" i="56"/>
  <c r="AY9" i="56"/>
  <c r="AY30" i="56"/>
  <c r="AY46" i="56"/>
  <c r="AY44" i="56"/>
  <c r="AW4" i="56"/>
  <c r="AW47" i="56"/>
  <c r="AW35" i="56"/>
  <c r="AY6" i="56"/>
  <c r="AW39" i="56"/>
  <c r="AW36" i="56"/>
  <c r="AY13" i="56"/>
  <c r="AY3" i="56"/>
  <c r="AW14" i="56"/>
  <c r="AY7" i="56"/>
  <c r="AY28" i="56"/>
  <c r="AW27" i="56"/>
  <c r="AY38" i="56"/>
  <c r="AY37" i="56"/>
  <c r="AY24" i="56"/>
  <c r="AY14" i="56"/>
  <c r="AW46" i="56"/>
  <c r="AW28" i="56"/>
  <c r="AW22" i="56"/>
  <c r="AW29" i="56"/>
  <c r="AY43" i="56"/>
  <c r="AW20" i="56"/>
  <c r="AW24" i="56"/>
  <c r="AW34" i="56"/>
  <c r="AY16" i="56"/>
  <c r="AY31" i="56"/>
  <c r="AW19" i="56"/>
  <c r="AY45" i="56"/>
  <c r="AY32" i="56"/>
  <c r="AW15" i="56"/>
  <c r="AW3" i="56"/>
  <c r="AW43" i="56"/>
  <c r="AW23" i="56"/>
  <c r="AY34" i="56"/>
  <c r="AW30" i="56"/>
  <c r="AY26" i="56"/>
  <c r="AW9" i="56"/>
  <c r="AW16" i="56"/>
  <c r="AY17" i="56"/>
  <c r="AW7" i="56"/>
  <c r="AW37" i="56"/>
  <c r="AY40" i="56"/>
  <c r="AW32" i="56"/>
  <c r="AY36" i="56"/>
  <c r="AY15" i="56"/>
  <c r="AY41" i="56"/>
  <c r="AW31" i="56"/>
  <c r="AY11" i="56"/>
  <c r="AW18" i="56"/>
  <c r="AW40" i="56"/>
  <c r="AY25" i="56"/>
  <c r="AY29" i="56"/>
  <c r="AY8" i="56"/>
  <c r="AW44" i="56"/>
  <c r="AW6" i="56"/>
  <c r="AW25" i="56"/>
  <c r="AY19" i="56"/>
  <c r="AW38" i="56"/>
  <c r="AY42" i="56"/>
  <c r="AW5" i="56"/>
  <c r="AY18" i="56"/>
  <c r="AW21" i="56"/>
  <c r="AY23" i="56"/>
  <c r="AW12" i="56"/>
  <c r="AW13" i="56"/>
  <c r="AY21" i="56"/>
  <c r="AY35" i="56"/>
  <c r="AW26" i="56"/>
  <c r="AW10" i="56"/>
  <c r="AY20" i="56"/>
  <c r="AY10" i="56"/>
  <c r="AY2" i="56"/>
  <c r="AY12" i="56"/>
  <c r="AW41" i="56"/>
  <c r="AW48" i="56" l="1"/>
  <c r="AY48" i="56"/>
  <c r="AZ46" i="56" s="1"/>
  <c r="BB24" i="56" l="1"/>
  <c r="BB42" i="56"/>
  <c r="AZ15" i="56"/>
  <c r="BB15" i="56"/>
  <c r="AZ21" i="56"/>
  <c r="BB39" i="56"/>
  <c r="BB7" i="56"/>
  <c r="AZ19" i="56"/>
  <c r="BB19" i="56"/>
  <c r="BB45" i="56"/>
  <c r="BB2" i="56"/>
  <c r="AZ45" i="56"/>
  <c r="BB17" i="56"/>
  <c r="BB23" i="56"/>
  <c r="AZ10" i="56"/>
  <c r="BB25" i="56"/>
  <c r="AZ5" i="56"/>
  <c r="AZ39" i="56"/>
  <c r="AZ13" i="56"/>
  <c r="BB18" i="56"/>
  <c r="AZ8" i="56"/>
  <c r="BB36" i="56"/>
  <c r="AZ31" i="56"/>
  <c r="AZ30" i="56"/>
  <c r="AZ11" i="56"/>
  <c r="BB6" i="56"/>
  <c r="BB31" i="56"/>
  <c r="AZ36" i="56"/>
  <c r="AZ9" i="56"/>
  <c r="AZ34" i="56"/>
  <c r="BB14" i="56"/>
  <c r="BB9" i="56"/>
  <c r="AZ23" i="56"/>
  <c r="BB27" i="56"/>
  <c r="AZ16" i="56"/>
  <c r="AZ28" i="56"/>
  <c r="BB20" i="56"/>
  <c r="BB12" i="56"/>
  <c r="BB43" i="56"/>
  <c r="AZ35" i="56"/>
  <c r="BB35" i="56"/>
  <c r="BB16" i="56"/>
  <c r="AZ3" i="56"/>
  <c r="AZ26" i="56"/>
  <c r="BB4" i="56"/>
  <c r="AZ17" i="56"/>
  <c r="AZ27" i="56"/>
  <c r="AZ47" i="56"/>
  <c r="BB47" i="56"/>
  <c r="BB26" i="56"/>
  <c r="BB30" i="56"/>
  <c r="BB29" i="56"/>
  <c r="BB13" i="56"/>
  <c r="BB34" i="56"/>
  <c r="BB21" i="56"/>
  <c r="AZ29" i="56"/>
  <c r="BB8" i="56"/>
  <c r="AZ41" i="56"/>
  <c r="AZ44" i="56"/>
  <c r="AZ25" i="56"/>
  <c r="BB28" i="56"/>
  <c r="AZ14" i="56"/>
  <c r="BB10" i="56"/>
  <c r="AZ20" i="56"/>
  <c r="AZ33" i="56"/>
  <c r="AZ22" i="56"/>
  <c r="BB33" i="56"/>
  <c r="BB46" i="56"/>
  <c r="AZ43" i="56"/>
  <c r="AZ4" i="56"/>
  <c r="AZ6" i="56"/>
  <c r="BB32" i="56"/>
  <c r="BB5" i="56"/>
  <c r="AZ18" i="56"/>
  <c r="AZ2" i="56"/>
  <c r="AZ24" i="56"/>
  <c r="BB22" i="56"/>
  <c r="BB38" i="56"/>
  <c r="AZ42" i="56"/>
  <c r="BB41" i="56"/>
  <c r="BB44" i="56"/>
  <c r="AZ38" i="56"/>
  <c r="AZ12" i="56"/>
  <c r="BB11" i="56"/>
  <c r="AZ7" i="56"/>
  <c r="BB3" i="56"/>
  <c r="BB40" i="56"/>
  <c r="BB37" i="56"/>
  <c r="AZ32" i="56"/>
  <c r="AZ40" i="56"/>
  <c r="AZ37" i="56"/>
  <c r="BB48" i="56" l="1"/>
  <c r="BC39" i="56" s="1"/>
  <c r="AZ48" i="56"/>
  <c r="BC24" i="56" l="1"/>
  <c r="BE22" i="56"/>
  <c r="BE24" i="56"/>
  <c r="BE18" i="56"/>
  <c r="BE40" i="56"/>
  <c r="BC11" i="56"/>
  <c r="BC30" i="56"/>
  <c r="BE23" i="56"/>
  <c r="BE10" i="56"/>
  <c r="BC42" i="56"/>
  <c r="BE46" i="56"/>
  <c r="BE21" i="56"/>
  <c r="BE31" i="56"/>
  <c r="BC25" i="56"/>
  <c r="BC20" i="56"/>
  <c r="BC33" i="56"/>
  <c r="BE8" i="56"/>
  <c r="BC31" i="56"/>
  <c r="BE3" i="56"/>
  <c r="BC29" i="56"/>
  <c r="BE39" i="56"/>
  <c r="BC35" i="56"/>
  <c r="BE11" i="56"/>
  <c r="BC28" i="56"/>
  <c r="BC17" i="56"/>
  <c r="BE14" i="56"/>
  <c r="BE45" i="56"/>
  <c r="BC36" i="56"/>
  <c r="BE12" i="56"/>
  <c r="BC2" i="56"/>
  <c r="BE20" i="56"/>
  <c r="BC14" i="56"/>
  <c r="BE43" i="56"/>
  <c r="BE29" i="56"/>
  <c r="BC16" i="56"/>
  <c r="BC26" i="56"/>
  <c r="BC15" i="56"/>
  <c r="BC3" i="56"/>
  <c r="BE16" i="56"/>
  <c r="BC38" i="56"/>
  <c r="BE41" i="56"/>
  <c r="BC40" i="56"/>
  <c r="BC8" i="56"/>
  <c r="BC7" i="56"/>
  <c r="BE2" i="56"/>
  <c r="BE26" i="56"/>
  <c r="BE5" i="56"/>
  <c r="BE47" i="56"/>
  <c r="BE4" i="56"/>
  <c r="BE15" i="56"/>
  <c r="BC21" i="56"/>
  <c r="BE34" i="56"/>
  <c r="BE37" i="56"/>
  <c r="BC9" i="56"/>
  <c r="BE32" i="56"/>
  <c r="BC23" i="56"/>
  <c r="BE27" i="56"/>
  <c r="BC41" i="56"/>
  <c r="BE38" i="56"/>
  <c r="BE13" i="56"/>
  <c r="BC27" i="56"/>
  <c r="BC5" i="56"/>
  <c r="BE9" i="56"/>
  <c r="BC46" i="56"/>
  <c r="BC45" i="56"/>
  <c r="BE6" i="56"/>
  <c r="BC18" i="56"/>
  <c r="BE19" i="56"/>
  <c r="BE35" i="56"/>
  <c r="BC37" i="56"/>
  <c r="BC47" i="56"/>
  <c r="BE36" i="56"/>
  <c r="BC10" i="56"/>
  <c r="BC34" i="56"/>
  <c r="BE33" i="56"/>
  <c r="BC44" i="56"/>
  <c r="BC43" i="56"/>
  <c r="BE28" i="56"/>
  <c r="BC32" i="56"/>
  <c r="BC13" i="56"/>
  <c r="BC12" i="56"/>
  <c r="BE25" i="56"/>
  <c r="BE30" i="56"/>
  <c r="BE7" i="56"/>
  <c r="BC4" i="56"/>
  <c r="BC22" i="56"/>
  <c r="BE17" i="56"/>
  <c r="BC6" i="56"/>
  <c r="BC19" i="56"/>
  <c r="BE42" i="56"/>
  <c r="BE44" i="56"/>
  <c r="BC48" i="56" l="1"/>
  <c r="BE48" i="56"/>
  <c r="BF38" i="56" s="1"/>
  <c r="BF33" i="56" l="1"/>
  <c r="BF6" i="56"/>
  <c r="BF10" i="56"/>
  <c r="BF28" i="56"/>
  <c r="BF13" i="56"/>
  <c r="BH9" i="56"/>
  <c r="BH35" i="56"/>
  <c r="BH18" i="56"/>
  <c r="BH27" i="56"/>
  <c r="BF26" i="56"/>
  <c r="BF16" i="56"/>
  <c r="BH33" i="56"/>
  <c r="BH34" i="56"/>
  <c r="BF22" i="56"/>
  <c r="BH30" i="56"/>
  <c r="BF35" i="56"/>
  <c r="BF19" i="56"/>
  <c r="BF9" i="56"/>
  <c r="BH3" i="56"/>
  <c r="BH4" i="56"/>
  <c r="BH13" i="56"/>
  <c r="BH28" i="56"/>
  <c r="BF15" i="56"/>
  <c r="BF46" i="56"/>
  <c r="BF47" i="56"/>
  <c r="BH20" i="56"/>
  <c r="BH8" i="56"/>
  <c r="BH17" i="56"/>
  <c r="BF27" i="56"/>
  <c r="BF11" i="56"/>
  <c r="BF37" i="56"/>
  <c r="BF29" i="56"/>
  <c r="BF30" i="56"/>
  <c r="BH41" i="56"/>
  <c r="BH2" i="56"/>
  <c r="BH5" i="56"/>
  <c r="BF41" i="56"/>
  <c r="BH16" i="56"/>
  <c r="BF23" i="56"/>
  <c r="BH23" i="56"/>
  <c r="BH36" i="56"/>
  <c r="BH15" i="56"/>
  <c r="BF36" i="56"/>
  <c r="BF25" i="56"/>
  <c r="BF3" i="56"/>
  <c r="BH26" i="56"/>
  <c r="BH29" i="56"/>
  <c r="BH19" i="56"/>
  <c r="BF8" i="56"/>
  <c r="BF20" i="56"/>
  <c r="BH38" i="56"/>
  <c r="BF14" i="56"/>
  <c r="BH37" i="56"/>
  <c r="BF2" i="56"/>
  <c r="BH24" i="56"/>
  <c r="BF21" i="56"/>
  <c r="BF18" i="56"/>
  <c r="BF4" i="56"/>
  <c r="BF7" i="56"/>
  <c r="BH25" i="56"/>
  <c r="BH22" i="56"/>
  <c r="BF32" i="56"/>
  <c r="BH14" i="56"/>
  <c r="BH12" i="56"/>
  <c r="BF31" i="56"/>
  <c r="BF24" i="56"/>
  <c r="BH32" i="56"/>
  <c r="BF5" i="56"/>
  <c r="BH10" i="56"/>
  <c r="BF45" i="56"/>
  <c r="BF40" i="56"/>
  <c r="BH11" i="56"/>
  <c r="BH40" i="56"/>
  <c r="BF42" i="56"/>
  <c r="BH42" i="56"/>
  <c r="BF44" i="56"/>
  <c r="BH6" i="56"/>
  <c r="BF12" i="56"/>
  <c r="BH31" i="56"/>
  <c r="BF34" i="56"/>
  <c r="BF39" i="56"/>
  <c r="BH45" i="56"/>
  <c r="BH43" i="56"/>
  <c r="BF43" i="56"/>
  <c r="BH39" i="56"/>
  <c r="BH44" i="56"/>
  <c r="BF17" i="56"/>
  <c r="BH21" i="56"/>
  <c r="BH7" i="56"/>
  <c r="BH46" i="56"/>
  <c r="BH47" i="56"/>
  <c r="BF48" i="56" l="1"/>
  <c r="BH48" i="56"/>
  <c r="BI44" i="56" s="1"/>
  <c r="BI19" i="56" l="1"/>
  <c r="BI21" i="56"/>
  <c r="BK7" i="56"/>
  <c r="BI25" i="56"/>
  <c r="BK12" i="56"/>
  <c r="BI38" i="56"/>
  <c r="BI35" i="56"/>
  <c r="BI32" i="56"/>
  <c r="BK36" i="56"/>
  <c r="BI14" i="56"/>
  <c r="BK41" i="56"/>
  <c r="BI9" i="56"/>
  <c r="BK11" i="56"/>
  <c r="BK43" i="56"/>
  <c r="BI3" i="56"/>
  <c r="BK4" i="56"/>
  <c r="BK34" i="56"/>
  <c r="BI20" i="56"/>
  <c r="BI39" i="56"/>
  <c r="BK24" i="56"/>
  <c r="BK22" i="56"/>
  <c r="BI34" i="56"/>
  <c r="BI17" i="56"/>
  <c r="BK23" i="56"/>
  <c r="BI42" i="56"/>
  <c r="BI27" i="56"/>
  <c r="BK9" i="56"/>
  <c r="BK10" i="56"/>
  <c r="BI45" i="56"/>
  <c r="BK14" i="56"/>
  <c r="BK18" i="56"/>
  <c r="BK31" i="56"/>
  <c r="BK13" i="56"/>
  <c r="BI11" i="56"/>
  <c r="BK6" i="56"/>
  <c r="BK5" i="56"/>
  <c r="BI30" i="56"/>
  <c r="BI13" i="56"/>
  <c r="BK3" i="56"/>
  <c r="BI43" i="56"/>
  <c r="BI29" i="56"/>
  <c r="BK32" i="56"/>
  <c r="BI8" i="56"/>
  <c r="BI5" i="56"/>
  <c r="BK40" i="56"/>
  <c r="BK28" i="56"/>
  <c r="BK17" i="56"/>
  <c r="BI6" i="56"/>
  <c r="BK2" i="56"/>
  <c r="BK46" i="56"/>
  <c r="BK27" i="56"/>
  <c r="BK26" i="56"/>
  <c r="BI2" i="56"/>
  <c r="BI23" i="56"/>
  <c r="BK20" i="56"/>
  <c r="BI7" i="56"/>
  <c r="BK45" i="56"/>
  <c r="BI31" i="56"/>
  <c r="BK29" i="56"/>
  <c r="BK8" i="56"/>
  <c r="BI22" i="56"/>
  <c r="BK30" i="56"/>
  <c r="BK35" i="56"/>
  <c r="BK25" i="56"/>
  <c r="BK47" i="56"/>
  <c r="BI46" i="56"/>
  <c r="BI10" i="56"/>
  <c r="BI16" i="56"/>
  <c r="BK19" i="56"/>
  <c r="BK44" i="56"/>
  <c r="BI41" i="56"/>
  <c r="BI12" i="56"/>
  <c r="BK33" i="56"/>
  <c r="BK15" i="56"/>
  <c r="BI15" i="56"/>
  <c r="BK16" i="56"/>
  <c r="BK38" i="56"/>
  <c r="BK37" i="56"/>
  <c r="BI28" i="56"/>
  <c r="BI18" i="56"/>
  <c r="BK42" i="56"/>
  <c r="BI37" i="56"/>
  <c r="BI36" i="56"/>
  <c r="BI24" i="56"/>
  <c r="BI4" i="56"/>
  <c r="BI26" i="56"/>
  <c r="BK21" i="56"/>
  <c r="BK39" i="56"/>
  <c r="BI47" i="56"/>
  <c r="BI33" i="56"/>
  <c r="BI40" i="56"/>
  <c r="BK48" i="56" l="1"/>
  <c r="BL38" i="56" s="1"/>
  <c r="BI48" i="56"/>
  <c r="BL26" i="56" l="1"/>
  <c r="BL12" i="56"/>
  <c r="BN2" i="56"/>
  <c r="BL33" i="56"/>
  <c r="BN7" i="56"/>
  <c r="BL31" i="56"/>
  <c r="BL9" i="56"/>
  <c r="BN3" i="56"/>
  <c r="BN10" i="56"/>
  <c r="BL39" i="56"/>
  <c r="BL19" i="56"/>
  <c r="BL36" i="56"/>
  <c r="BN26" i="56"/>
  <c r="BL44" i="56"/>
  <c r="BN21" i="56"/>
  <c r="BL41" i="56"/>
  <c r="BN22" i="56"/>
  <c r="BL3" i="56"/>
  <c r="BN35" i="56"/>
  <c r="BL24" i="56"/>
  <c r="BL10" i="56"/>
  <c r="BN41" i="56"/>
  <c r="BN25" i="56"/>
  <c r="BL16" i="56"/>
  <c r="BN12" i="56"/>
  <c r="BN37" i="56"/>
  <c r="BL2" i="56"/>
  <c r="BL25" i="56"/>
  <c r="BL45" i="56"/>
  <c r="BL6" i="56"/>
  <c r="BN20" i="56"/>
  <c r="BL29" i="56"/>
  <c r="BN46" i="56"/>
  <c r="BL40" i="56"/>
  <c r="BN15" i="56"/>
  <c r="BN23" i="56"/>
  <c r="BL13" i="56"/>
  <c r="BL34" i="56"/>
  <c r="BN31" i="56"/>
  <c r="BL27" i="56"/>
  <c r="BL28" i="56"/>
  <c r="BN40" i="56"/>
  <c r="BL42" i="56"/>
  <c r="BN16" i="56"/>
  <c r="BN19" i="56"/>
  <c r="BL7" i="56"/>
  <c r="BN33" i="56"/>
  <c r="BN14" i="56"/>
  <c r="BN5" i="56"/>
  <c r="BN8" i="56"/>
  <c r="BN39" i="56"/>
  <c r="BL37" i="56"/>
  <c r="BL30" i="56"/>
  <c r="BN34" i="56"/>
  <c r="BL35" i="56"/>
  <c r="BL8" i="56"/>
  <c r="BN36" i="56"/>
  <c r="BN24" i="56"/>
  <c r="BL32" i="56"/>
  <c r="BL23" i="56"/>
  <c r="BL17" i="56"/>
  <c r="BN13" i="56"/>
  <c r="BN6" i="56"/>
  <c r="BN29" i="56"/>
  <c r="BL15" i="56"/>
  <c r="BL20" i="56"/>
  <c r="BL4" i="56"/>
  <c r="BL47" i="56"/>
  <c r="BN44" i="56"/>
  <c r="BL43" i="56"/>
  <c r="BN43" i="56"/>
  <c r="BN27" i="56"/>
  <c r="BN30" i="56"/>
  <c r="BL21" i="56"/>
  <c r="BN17" i="56"/>
  <c r="BL14" i="56"/>
  <c r="BL5" i="56"/>
  <c r="BN42" i="56"/>
  <c r="BN47" i="56"/>
  <c r="BL46" i="56"/>
  <c r="BL22" i="56"/>
  <c r="BL11" i="56"/>
  <c r="BN32" i="56"/>
  <c r="BL18" i="56"/>
  <c r="BN28" i="56"/>
  <c r="BN9" i="56"/>
  <c r="BN4" i="56"/>
  <c r="BN11" i="56"/>
  <c r="BN18" i="56"/>
  <c r="BN38" i="56"/>
  <c r="BN45" i="56"/>
  <c r="BN48" i="56" l="1"/>
  <c r="BO43" i="56" s="1"/>
  <c r="BL48" i="56"/>
  <c r="BQ21" i="56" l="1"/>
  <c r="BQ29" i="56"/>
  <c r="BQ19" i="56"/>
  <c r="BO45" i="56"/>
  <c r="BQ25" i="56"/>
  <c r="BQ30" i="56"/>
  <c r="BQ15" i="56"/>
  <c r="BQ14" i="56"/>
  <c r="BQ28" i="56"/>
  <c r="BQ9" i="56"/>
  <c r="BQ45" i="56"/>
  <c r="BQ6" i="56"/>
  <c r="BQ36" i="56"/>
  <c r="BQ7" i="56"/>
  <c r="BO22" i="56"/>
  <c r="BQ22" i="56"/>
  <c r="BO13" i="56"/>
  <c r="BQ11" i="56"/>
  <c r="BO44" i="56"/>
  <c r="BQ17" i="56"/>
  <c r="BO18" i="56"/>
  <c r="BO16" i="56"/>
  <c r="BO46" i="56"/>
  <c r="BQ16" i="56"/>
  <c r="BQ33" i="56"/>
  <c r="BQ35" i="56"/>
  <c r="BO42" i="56"/>
  <c r="BO7" i="56"/>
  <c r="BO29" i="56"/>
  <c r="BQ27" i="56"/>
  <c r="BO39" i="56"/>
  <c r="BQ47" i="56"/>
  <c r="BO24" i="56"/>
  <c r="BO19" i="56"/>
  <c r="BO28" i="56"/>
  <c r="BO26" i="56"/>
  <c r="BO20" i="56"/>
  <c r="BQ26" i="56"/>
  <c r="BO21" i="56"/>
  <c r="BO9" i="56"/>
  <c r="BO40" i="56"/>
  <c r="BQ38" i="56"/>
  <c r="BQ43" i="56"/>
  <c r="BO6" i="56"/>
  <c r="BO15" i="56"/>
  <c r="BQ39" i="56"/>
  <c r="BQ23" i="56"/>
  <c r="BO2" i="56"/>
  <c r="BO12" i="56"/>
  <c r="BQ41" i="56"/>
  <c r="BQ32" i="56"/>
  <c r="BO10" i="56"/>
  <c r="BO38" i="56"/>
  <c r="BQ3" i="56"/>
  <c r="BQ20" i="56"/>
  <c r="BO14" i="56"/>
  <c r="BQ10" i="56"/>
  <c r="BO37" i="56"/>
  <c r="BQ37" i="56"/>
  <c r="BO27" i="56"/>
  <c r="BO36" i="56"/>
  <c r="BO41" i="56"/>
  <c r="BQ4" i="56"/>
  <c r="BO25" i="56"/>
  <c r="BO23" i="56"/>
  <c r="BQ44" i="56"/>
  <c r="BQ31" i="56"/>
  <c r="BO34" i="56"/>
  <c r="BQ13" i="56"/>
  <c r="BQ42" i="56"/>
  <c r="BO35" i="56"/>
  <c r="BO32" i="56"/>
  <c r="BO8" i="56"/>
  <c r="BQ5" i="56"/>
  <c r="BQ18" i="56"/>
  <c r="BQ34" i="56"/>
  <c r="BO3" i="56"/>
  <c r="BO11" i="56"/>
  <c r="BQ40" i="56"/>
  <c r="BO30" i="56"/>
  <c r="BO31" i="56"/>
  <c r="BO4" i="56"/>
  <c r="BO5" i="56"/>
  <c r="BQ8" i="56"/>
  <c r="BQ24" i="56"/>
  <c r="BQ2" i="56"/>
  <c r="BO17" i="56"/>
  <c r="BQ12" i="56"/>
  <c r="BO47" i="56"/>
  <c r="BQ46" i="56"/>
  <c r="BO33" i="56"/>
  <c r="BQ48" i="56" l="1"/>
  <c r="BR40" i="56" s="1"/>
  <c r="BO48" i="56"/>
  <c r="BR30" i="56" l="1"/>
  <c r="BR20" i="56"/>
  <c r="BT17" i="56"/>
  <c r="BR24" i="56"/>
  <c r="BT6" i="56"/>
  <c r="BT44" i="56"/>
  <c r="BT19" i="56"/>
  <c r="BT31" i="56"/>
  <c r="BT38" i="56"/>
  <c r="BR33" i="56"/>
  <c r="BT15" i="56"/>
  <c r="BT18" i="56"/>
  <c r="BT46" i="56"/>
  <c r="BT35" i="56"/>
  <c r="BT20" i="56"/>
  <c r="BT7" i="56"/>
  <c r="BT22" i="56"/>
  <c r="BT32" i="56"/>
  <c r="BR41" i="56"/>
  <c r="BT45" i="56"/>
  <c r="BR44" i="56"/>
  <c r="BR31" i="56"/>
  <c r="BR8" i="56"/>
  <c r="BR5" i="56"/>
  <c r="BT24" i="56"/>
  <c r="BR23" i="56"/>
  <c r="BR14" i="56"/>
  <c r="BR4" i="56"/>
  <c r="BT8" i="56"/>
  <c r="BR46" i="56"/>
  <c r="BT47" i="56"/>
  <c r="BR42" i="56"/>
  <c r="BT26" i="56"/>
  <c r="BT16" i="56"/>
  <c r="BT34" i="56"/>
  <c r="BR3" i="56"/>
  <c r="BR27" i="56"/>
  <c r="BR32" i="56"/>
  <c r="BT13" i="56"/>
  <c r="BT33" i="56"/>
  <c r="BT30" i="56"/>
  <c r="BR45" i="56"/>
  <c r="BR13" i="56"/>
  <c r="BR12" i="56"/>
  <c r="BR29" i="56"/>
  <c r="BR10" i="56"/>
  <c r="BT4" i="56"/>
  <c r="BR28" i="56"/>
  <c r="BR17" i="56"/>
  <c r="BR43" i="56"/>
  <c r="BR26" i="56"/>
  <c r="BR15" i="56"/>
  <c r="BT28" i="56"/>
  <c r="BT12" i="56"/>
  <c r="BT10" i="56"/>
  <c r="BR22" i="56"/>
  <c r="BR18" i="56"/>
  <c r="BT29" i="56"/>
  <c r="BR7" i="56"/>
  <c r="BR39" i="56"/>
  <c r="BT41" i="56"/>
  <c r="BT36" i="56"/>
  <c r="BT25" i="56"/>
  <c r="BT3" i="56"/>
  <c r="BR19" i="56"/>
  <c r="BR25" i="56"/>
  <c r="BT23" i="56"/>
  <c r="BT21" i="56"/>
  <c r="BR9" i="56"/>
  <c r="BT14" i="56"/>
  <c r="BR37" i="56"/>
  <c r="BT39" i="56"/>
  <c r="BR38" i="56"/>
  <c r="BR16" i="56"/>
  <c r="BT2" i="56"/>
  <c r="BT40" i="56"/>
  <c r="BR36" i="56"/>
  <c r="BT9" i="56"/>
  <c r="BT37" i="56"/>
  <c r="BR34" i="56"/>
  <c r="BR35" i="56"/>
  <c r="BT11" i="56"/>
  <c r="BR6" i="56"/>
  <c r="BR21" i="56"/>
  <c r="BT27" i="56"/>
  <c r="BT5" i="56"/>
  <c r="BR2" i="56"/>
  <c r="BR11" i="56"/>
  <c r="BT42" i="56"/>
  <c r="BT43" i="56"/>
  <c r="BR47" i="56"/>
  <c r="BR48" i="56" l="1"/>
  <c r="BT48" i="56"/>
  <c r="BU32" i="56" s="1"/>
  <c r="BW32" i="56" s="1"/>
  <c r="CA32" i="56" s="1"/>
  <c r="H34" i="59" s="1"/>
  <c r="BU23" i="56" l="1"/>
  <c r="BW23" i="56" s="1"/>
  <c r="D25" i="59" s="1"/>
  <c r="BU16" i="56"/>
  <c r="BW16" i="56" s="1"/>
  <c r="D18" i="59" s="1"/>
  <c r="BU17" i="56"/>
  <c r="BW17" i="56" s="1"/>
  <c r="D19" i="59" s="1"/>
  <c r="BU18" i="56"/>
  <c r="BW18" i="56" s="1"/>
  <c r="D20" i="59" s="1"/>
  <c r="BU12" i="56"/>
  <c r="BW12" i="56" s="1"/>
  <c r="D14" i="59" s="1"/>
  <c r="BU30" i="56"/>
  <c r="BW30" i="56" s="1"/>
  <c r="D32" i="59" s="1"/>
  <c r="BU21" i="56"/>
  <c r="BW21" i="56" s="1"/>
  <c r="D23" i="59" s="1"/>
  <c r="BU28" i="56"/>
  <c r="BW28" i="56" s="1"/>
  <c r="CA28" i="56" s="1"/>
  <c r="H30" i="59" s="1"/>
  <c r="BU5" i="56"/>
  <c r="BW5" i="56" s="1"/>
  <c r="D7" i="59" s="1"/>
  <c r="BX32" i="56"/>
  <c r="E34" i="59" s="1"/>
  <c r="BU22" i="56"/>
  <c r="BW22" i="56" s="1"/>
  <c r="D24" i="59" s="1"/>
  <c r="BU27" i="56"/>
  <c r="BW27" i="56" s="1"/>
  <c r="CA27" i="56" s="1"/>
  <c r="H29" i="59" s="1"/>
  <c r="D34" i="59"/>
  <c r="BU34" i="56"/>
  <c r="BW34" i="56" s="1"/>
  <c r="CA34" i="56" s="1"/>
  <c r="H36" i="59" s="1"/>
  <c r="BU24" i="56"/>
  <c r="BW24" i="56" s="1"/>
  <c r="D26" i="59" s="1"/>
  <c r="BU26" i="56"/>
  <c r="BW26" i="56" s="1"/>
  <c r="CA26" i="56" s="1"/>
  <c r="H28" i="59" s="1"/>
  <c r="BU15" i="56"/>
  <c r="BW15" i="56" s="1"/>
  <c r="D17" i="59" s="1"/>
  <c r="BU11" i="56"/>
  <c r="BW11" i="56" s="1"/>
  <c r="D13" i="59" s="1"/>
  <c r="BU7" i="56"/>
  <c r="BW7" i="56" s="1"/>
  <c r="D9" i="59" s="1"/>
  <c r="BU3" i="56"/>
  <c r="BW3" i="56" s="1"/>
  <c r="D5" i="59" s="1"/>
  <c r="BU8" i="56"/>
  <c r="BW8" i="56" s="1"/>
  <c r="D10" i="59" s="1"/>
  <c r="BU44" i="56"/>
  <c r="BW44" i="56" s="1"/>
  <c r="BX44" i="56" s="1"/>
  <c r="BZ44" i="56" s="1"/>
  <c r="BU39" i="56"/>
  <c r="BW39" i="56" s="1"/>
  <c r="CA39" i="56" s="1"/>
  <c r="H41" i="59" s="1"/>
  <c r="BU35" i="56"/>
  <c r="BW35" i="56" s="1"/>
  <c r="CA35" i="56" s="1"/>
  <c r="H37" i="59" s="1"/>
  <c r="BU42" i="56"/>
  <c r="BW42" i="56" s="1"/>
  <c r="D44" i="59" s="1"/>
  <c r="BU9" i="56"/>
  <c r="BW9" i="56" s="1"/>
  <c r="D11" i="59" s="1"/>
  <c r="BU43" i="56"/>
  <c r="BW43" i="56" s="1"/>
  <c r="D45" i="59" s="1"/>
  <c r="BU20" i="56"/>
  <c r="BW20" i="56" s="1"/>
  <c r="D22" i="59" s="1"/>
  <c r="BU33" i="56"/>
  <c r="BW33" i="56" s="1"/>
  <c r="BX33" i="56" s="1"/>
  <c r="BZ33" i="56" s="1"/>
  <c r="G35" i="59" s="1"/>
  <c r="BU29" i="56"/>
  <c r="BW29" i="56" s="1"/>
  <c r="D31" i="59" s="1"/>
  <c r="BU14" i="56"/>
  <c r="BW14" i="56" s="1"/>
  <c r="D16" i="59" s="1"/>
  <c r="BU38" i="56"/>
  <c r="BW38" i="56" s="1"/>
  <c r="D40" i="59" s="1"/>
  <c r="BU10" i="56"/>
  <c r="BW10" i="56" s="1"/>
  <c r="D12" i="59" s="1"/>
  <c r="BU4" i="56"/>
  <c r="BW4" i="56" s="1"/>
  <c r="D6" i="59" s="1"/>
  <c r="BU25" i="56"/>
  <c r="BW25" i="56" s="1"/>
  <c r="D27" i="59" s="1"/>
  <c r="BU31" i="56"/>
  <c r="BW31" i="56" s="1"/>
  <c r="D33" i="59" s="1"/>
  <c r="BU13" i="56"/>
  <c r="BW13" i="56" s="1"/>
  <c r="D15" i="59" s="1"/>
  <c r="BU45" i="56"/>
  <c r="BW45" i="56" s="1"/>
  <c r="BX45" i="56" s="1"/>
  <c r="E47" i="59" s="1"/>
  <c r="BU46" i="56"/>
  <c r="BW46" i="56" s="1"/>
  <c r="BX46" i="56" s="1"/>
  <c r="BZ46" i="56" s="1"/>
  <c r="BU41" i="56"/>
  <c r="BW41" i="56" s="1"/>
  <c r="D43" i="59" s="1"/>
  <c r="BU47" i="56"/>
  <c r="BW47" i="56" s="1"/>
  <c r="BX47" i="56" s="1"/>
  <c r="BZ47" i="56" s="1"/>
  <c r="BU37" i="56"/>
  <c r="BW37" i="56" s="1"/>
  <c r="D39" i="59" s="1"/>
  <c r="BU19" i="56"/>
  <c r="BW19" i="56" s="1"/>
  <c r="D21" i="59" s="1"/>
  <c r="BU36" i="56"/>
  <c r="BW36" i="56" s="1"/>
  <c r="CA36" i="56" s="1"/>
  <c r="H38" i="59" s="1"/>
  <c r="BU6" i="56"/>
  <c r="BW6" i="56" s="1"/>
  <c r="D8" i="59" s="1"/>
  <c r="BU2" i="56"/>
  <c r="BW2" i="56" s="1"/>
  <c r="BX2" i="56" s="1"/>
  <c r="E4" i="59" s="1"/>
  <c r="BU40" i="56"/>
  <c r="BW40" i="56" s="1"/>
  <c r="CA40" i="56" s="1"/>
  <c r="H42" i="59" s="1"/>
  <c r="D46" i="59" l="1"/>
  <c r="CA18" i="56"/>
  <c r="H20" i="59" s="1"/>
  <c r="BX18" i="56"/>
  <c r="BZ18" i="56" s="1"/>
  <c r="G20" i="59" s="1"/>
  <c r="BX42" i="56"/>
  <c r="BZ42" i="56" s="1"/>
  <c r="CA42" i="56"/>
  <c r="H44" i="59" s="1"/>
  <c r="CA23" i="56"/>
  <c r="H25" i="59" s="1"/>
  <c r="BX23" i="56"/>
  <c r="BZ23" i="56" s="1"/>
  <c r="G25" i="59" s="1"/>
  <c r="D36" i="59"/>
  <c r="BX12" i="56"/>
  <c r="E14" i="59" s="1"/>
  <c r="BX9" i="56"/>
  <c r="E11" i="59" s="1"/>
  <c r="BX16" i="56"/>
  <c r="BZ16" i="56" s="1"/>
  <c r="G18" i="59" s="1"/>
  <c r="CA16" i="56"/>
  <c r="H18" i="59" s="1"/>
  <c r="CA33" i="56"/>
  <c r="H35" i="59" s="1"/>
  <c r="CA12" i="56"/>
  <c r="H14" i="59" s="1"/>
  <c r="BX30" i="56"/>
  <c r="E32" i="59" s="1"/>
  <c r="D35" i="59"/>
  <c r="CA6" i="56"/>
  <c r="H8" i="59" s="1"/>
  <c r="CA8" i="56"/>
  <c r="H10" i="59" s="1"/>
  <c r="CA13" i="56"/>
  <c r="H15" i="59" s="1"/>
  <c r="BX13" i="56"/>
  <c r="E15" i="59" s="1"/>
  <c r="D30" i="59"/>
  <c r="CA10" i="56"/>
  <c r="H12" i="59" s="1"/>
  <c r="BX28" i="56"/>
  <c r="BZ28" i="56" s="1"/>
  <c r="G30" i="59" s="1"/>
  <c r="CA21" i="56"/>
  <c r="H23" i="59" s="1"/>
  <c r="CA5" i="56"/>
  <c r="H7" i="59" s="1"/>
  <c r="CA29" i="56"/>
  <c r="H31" i="59" s="1"/>
  <c r="BX17" i="56"/>
  <c r="BZ17" i="56" s="1"/>
  <c r="G19" i="59" s="1"/>
  <c r="CA17" i="56"/>
  <c r="H19" i="59" s="1"/>
  <c r="BX5" i="56"/>
  <c r="BZ5" i="56" s="1"/>
  <c r="G7" i="59" s="1"/>
  <c r="CA30" i="56"/>
  <c r="H32" i="59" s="1"/>
  <c r="BX34" i="56"/>
  <c r="E36" i="59" s="1"/>
  <c r="BX21" i="56"/>
  <c r="BZ21" i="56" s="1"/>
  <c r="G23" i="59" s="1"/>
  <c r="BX11" i="56"/>
  <c r="BZ11" i="56" s="1"/>
  <c r="G13" i="59" s="1"/>
  <c r="BX27" i="56"/>
  <c r="E29" i="59" s="1"/>
  <c r="BX25" i="56"/>
  <c r="E27" i="59" s="1"/>
  <c r="BZ32" i="56"/>
  <c r="G34" i="59" s="1"/>
  <c r="CA31" i="56"/>
  <c r="H33" i="59" s="1"/>
  <c r="BX20" i="56"/>
  <c r="E22" i="59" s="1"/>
  <c r="BX43" i="56"/>
  <c r="BZ43" i="56" s="1"/>
  <c r="G45" i="59" s="1"/>
  <c r="CA3" i="56"/>
  <c r="H5" i="59" s="1"/>
  <c r="CA19" i="56"/>
  <c r="H21" i="59" s="1"/>
  <c r="BX22" i="56"/>
  <c r="BZ22" i="56" s="1"/>
  <c r="G24" i="59" s="1"/>
  <c r="CA22" i="56"/>
  <c r="H24" i="59" s="1"/>
  <c r="D29" i="59"/>
  <c r="CA25" i="56"/>
  <c r="H27" i="59" s="1"/>
  <c r="CA4" i="56"/>
  <c r="H6" i="59" s="1"/>
  <c r="BZ45" i="56"/>
  <c r="G47" i="59" s="1"/>
  <c r="D41" i="59"/>
  <c r="CA41" i="56"/>
  <c r="H43" i="59" s="1"/>
  <c r="CA24" i="56"/>
  <c r="H26" i="59" s="1"/>
  <c r="BX26" i="56"/>
  <c r="BZ26" i="56" s="1"/>
  <c r="G28" i="59" s="1"/>
  <c r="BX29" i="56"/>
  <c r="BZ29" i="56" s="1"/>
  <c r="G31" i="59" s="1"/>
  <c r="BX41" i="56"/>
  <c r="BZ41" i="56" s="1"/>
  <c r="G43" i="59" s="1"/>
  <c r="BX38" i="56"/>
  <c r="E40" i="59" s="1"/>
  <c r="D37" i="59"/>
  <c r="CA38" i="56"/>
  <c r="H40" i="59" s="1"/>
  <c r="D28" i="59"/>
  <c r="E46" i="59"/>
  <c r="BX8" i="56"/>
  <c r="E10" i="59" s="1"/>
  <c r="BX35" i="56"/>
  <c r="BZ35" i="56" s="1"/>
  <c r="G37" i="59" s="1"/>
  <c r="D47" i="59"/>
  <c r="BX31" i="56"/>
  <c r="E33" i="59" s="1"/>
  <c r="CA7" i="56"/>
  <c r="H9" i="59" s="1"/>
  <c r="BX4" i="56"/>
  <c r="BZ4" i="56" s="1"/>
  <c r="G6" i="59" s="1"/>
  <c r="BX15" i="56"/>
  <c r="BZ15" i="56" s="1"/>
  <c r="G17" i="59" s="1"/>
  <c r="CA9" i="56"/>
  <c r="H11" i="59" s="1"/>
  <c r="BX7" i="56"/>
  <c r="BZ7" i="56" s="1"/>
  <c r="G9" i="59" s="1"/>
  <c r="BX24" i="56"/>
  <c r="BZ24" i="56" s="1"/>
  <c r="G26" i="59" s="1"/>
  <c r="CA15" i="56"/>
  <c r="H17" i="59" s="1"/>
  <c r="BX14" i="56"/>
  <c r="E16" i="59" s="1"/>
  <c r="BX39" i="56"/>
  <c r="BZ39" i="56" s="1"/>
  <c r="CA11" i="56"/>
  <c r="H13" i="59" s="1"/>
  <c r="BX3" i="56"/>
  <c r="BZ3" i="56" s="1"/>
  <c r="G5" i="59" s="1"/>
  <c r="CA20" i="56"/>
  <c r="H22" i="59" s="1"/>
  <c r="BX10" i="56"/>
  <c r="BZ10" i="56" s="1"/>
  <c r="G12" i="59" s="1"/>
  <c r="CA14" i="56"/>
  <c r="H16" i="59" s="1"/>
  <c r="BX36" i="56"/>
  <c r="BZ36" i="56" s="1"/>
  <c r="G38" i="59" s="1"/>
  <c r="D38" i="59"/>
  <c r="BX37" i="56"/>
  <c r="E39" i="59" s="1"/>
  <c r="BX19" i="56"/>
  <c r="BZ19" i="56" s="1"/>
  <c r="G21" i="59" s="1"/>
  <c r="D42" i="59"/>
  <c r="BX6" i="56"/>
  <c r="BZ6" i="56" s="1"/>
  <c r="G8" i="59" s="1"/>
  <c r="CA37" i="56"/>
  <c r="H39" i="59" s="1"/>
  <c r="BX40" i="56"/>
  <c r="BZ40" i="56" s="1"/>
  <c r="BU48" i="56"/>
  <c r="CA2" i="56"/>
  <c r="H4" i="59" s="1"/>
  <c r="D4" i="59"/>
  <c r="BW48" i="56"/>
  <c r="D48" i="59" s="1"/>
  <c r="G46" i="59"/>
  <c r="BZ2" i="56"/>
  <c r="G4" i="59" s="1"/>
  <c r="E35" i="59"/>
  <c r="E20" i="59" l="1"/>
  <c r="BZ13" i="56"/>
  <c r="G15" i="59" s="1"/>
  <c r="E25" i="59"/>
  <c r="E44" i="59"/>
  <c r="E18" i="59"/>
  <c r="BZ12" i="56"/>
  <c r="G14" i="59" s="1"/>
  <c r="BZ9" i="56"/>
  <c r="G11" i="59" s="1"/>
  <c r="BZ30" i="56"/>
  <c r="G32" i="59" s="1"/>
  <c r="E13" i="59"/>
  <c r="E7" i="59"/>
  <c r="BZ34" i="56"/>
  <c r="G36" i="59" s="1"/>
  <c r="E30" i="59"/>
  <c r="E9" i="59"/>
  <c r="BZ25" i="56"/>
  <c r="G27" i="59" s="1"/>
  <c r="E19" i="59"/>
  <c r="E23" i="59"/>
  <c r="BZ27" i="56"/>
  <c r="G29" i="59" s="1"/>
  <c r="E6" i="59"/>
  <c r="BZ20" i="56"/>
  <c r="G22" i="59" s="1"/>
  <c r="E45" i="59"/>
  <c r="BZ38" i="56"/>
  <c r="G40" i="59" s="1"/>
  <c r="BZ8" i="56"/>
  <c r="G10" i="59" s="1"/>
  <c r="E28" i="59"/>
  <c r="E5" i="59"/>
  <c r="E24" i="59"/>
  <c r="E43" i="59"/>
  <c r="BZ37" i="56"/>
  <c r="G39" i="59" s="1"/>
  <c r="E31" i="59"/>
  <c r="E37" i="59"/>
  <c r="E41" i="59"/>
  <c r="E38" i="59"/>
  <c r="E17" i="59"/>
  <c r="BZ31" i="56"/>
  <c r="G33" i="59" s="1"/>
  <c r="BZ14" i="56"/>
  <c r="G16" i="59" s="1"/>
  <c r="E26" i="59"/>
  <c r="E21" i="59"/>
  <c r="E12" i="59"/>
  <c r="E8" i="59"/>
  <c r="BX48" i="56"/>
  <c r="BX51" i="56" s="1"/>
  <c r="E42" i="59"/>
  <c r="CA48" i="56"/>
  <c r="H48" i="59" s="1"/>
  <c r="G42" i="59"/>
  <c r="G44" i="59"/>
  <c r="G41" i="59"/>
  <c r="BZ48" i="56" l="1"/>
  <c r="CB42" i="56" s="1"/>
  <c r="I44" i="59" s="1"/>
  <c r="E48" i="59"/>
  <c r="C3" i="66"/>
  <c r="CB9" i="56" l="1"/>
  <c r="I11" i="59" s="1"/>
  <c r="CB40" i="56"/>
  <c r="I42" i="59" s="1"/>
  <c r="CB22" i="56"/>
  <c r="I24" i="59" s="1"/>
  <c r="CB36" i="56"/>
  <c r="CC36" i="56" s="1"/>
  <c r="J38" i="59" s="1"/>
  <c r="CB35" i="56"/>
  <c r="CC35" i="56" s="1"/>
  <c r="J37" i="59" s="1"/>
  <c r="G48" i="59"/>
  <c r="CB8" i="56"/>
  <c r="I10" i="59" s="1"/>
  <c r="CB31" i="56"/>
  <c r="I33" i="59" s="1"/>
  <c r="CB47" i="56"/>
  <c r="CC47" i="56" s="1"/>
  <c r="CB2" i="56"/>
  <c r="I4" i="59" s="1"/>
  <c r="CB6" i="56"/>
  <c r="I8" i="59" s="1"/>
  <c r="CB23" i="56"/>
  <c r="I25" i="59" s="1"/>
  <c r="CB46" i="56"/>
  <c r="CC46" i="56" s="1"/>
  <c r="CB27" i="56"/>
  <c r="I29" i="59" s="1"/>
  <c r="CB37" i="56"/>
  <c r="I39" i="59" s="1"/>
  <c r="CB16" i="56"/>
  <c r="I18" i="59" s="1"/>
  <c r="CC42" i="56"/>
  <c r="J44" i="59" s="1"/>
  <c r="CB20" i="56"/>
  <c r="I22" i="59" s="1"/>
  <c r="CB44" i="56"/>
  <c r="CC44" i="56" s="1"/>
  <c r="J46" i="59" s="1"/>
  <c r="CB5" i="56"/>
  <c r="I7" i="59" s="1"/>
  <c r="CB21" i="56"/>
  <c r="I23" i="59" s="1"/>
  <c r="CB11" i="56"/>
  <c r="I13" i="59" s="1"/>
  <c r="CB19" i="56"/>
  <c r="I21" i="59" s="1"/>
  <c r="CB14" i="56"/>
  <c r="I16" i="59" s="1"/>
  <c r="CB7" i="56"/>
  <c r="I9" i="59" s="1"/>
  <c r="CB24" i="56"/>
  <c r="I26" i="59" s="1"/>
  <c r="CB30" i="56"/>
  <c r="I32" i="59" s="1"/>
  <c r="CB26" i="56"/>
  <c r="I28" i="59" s="1"/>
  <c r="CB38" i="56"/>
  <c r="I40" i="59" s="1"/>
  <c r="CB28" i="56"/>
  <c r="I30" i="59" s="1"/>
  <c r="CB3" i="56"/>
  <c r="I5" i="59" s="1"/>
  <c r="CB15" i="56"/>
  <c r="I17" i="59" s="1"/>
  <c r="CB41" i="56"/>
  <c r="CC41" i="56" s="1"/>
  <c r="J43" i="59" s="1"/>
  <c r="CB4" i="56"/>
  <c r="I6" i="59" s="1"/>
  <c r="CB10" i="56"/>
  <c r="I12" i="59" s="1"/>
  <c r="CB43" i="56"/>
  <c r="CC43" i="56" s="1"/>
  <c r="J45" i="59" s="1"/>
  <c r="CB34" i="56"/>
  <c r="I36" i="59" s="1"/>
  <c r="CB12" i="56"/>
  <c r="I14" i="59" s="1"/>
  <c r="CB39" i="56"/>
  <c r="I41" i="59" s="1"/>
  <c r="CB29" i="56"/>
  <c r="I31" i="59" s="1"/>
  <c r="CB25" i="56"/>
  <c r="I27" i="59" s="1"/>
  <c r="CB33" i="56"/>
  <c r="I35" i="59" s="1"/>
  <c r="CB32" i="56"/>
  <c r="I34" i="59" s="1"/>
  <c r="CB18" i="56"/>
  <c r="I20" i="59" s="1"/>
  <c r="CB48" i="56"/>
  <c r="I48" i="59" s="1"/>
  <c r="CB13" i="56"/>
  <c r="I15" i="59" s="1"/>
  <c r="CB17" i="56"/>
  <c r="I19" i="59" s="1"/>
  <c r="CB45" i="56"/>
  <c r="I47" i="59" s="1"/>
  <c r="CC22" i="56" l="1"/>
  <c r="J24" i="59" s="1"/>
  <c r="CC40" i="56"/>
  <c r="J42" i="59" s="1"/>
  <c r="I45" i="59"/>
  <c r="CC20" i="56"/>
  <c r="J22" i="59" s="1"/>
  <c r="CC18" i="56"/>
  <c r="J20" i="59" s="1"/>
  <c r="CC2" i="56"/>
  <c r="J4" i="59" s="1"/>
  <c r="CC4" i="56"/>
  <c r="J6" i="59" s="1"/>
  <c r="CC6" i="56"/>
  <c r="J8" i="59" s="1"/>
  <c r="I46" i="59"/>
  <c r="CC21" i="56"/>
  <c r="J23" i="59" s="1"/>
  <c r="I37" i="59"/>
  <c r="CC12" i="56"/>
  <c r="J14" i="59" s="1"/>
  <c r="CC28" i="56"/>
  <c r="J30" i="59" s="1"/>
  <c r="CC8" i="56"/>
  <c r="J10" i="59" s="1"/>
  <c r="CC5" i="56"/>
  <c r="J7" i="59" s="1"/>
  <c r="CC24" i="56"/>
  <c r="J26" i="59" s="1"/>
  <c r="CC23" i="56"/>
  <c r="J25" i="59" s="1"/>
  <c r="CC38" i="56"/>
  <c r="J40" i="59" s="1"/>
  <c r="CC34" i="56"/>
  <c r="J36" i="59" s="1"/>
  <c r="CC26" i="56"/>
  <c r="J28" i="59" s="1"/>
  <c r="CC48" i="56"/>
  <c r="J48" i="59" s="1"/>
  <c r="I38" i="59"/>
  <c r="CC30" i="56"/>
  <c r="J32" i="59" s="1"/>
  <c r="CC39" i="56"/>
  <c r="J41" i="59" s="1"/>
  <c r="CC7" i="56"/>
  <c r="J9" i="59" s="1"/>
  <c r="CC29" i="56"/>
  <c r="J31" i="59" s="1"/>
  <c r="CC27" i="56"/>
  <c r="J29" i="59" s="1"/>
  <c r="CC13" i="56"/>
  <c r="J15" i="59" s="1"/>
  <c r="CC9" i="56"/>
  <c r="J11" i="59" s="1"/>
  <c r="CC37" i="56"/>
  <c r="J39" i="59" s="1"/>
  <c r="CC31" i="56"/>
  <c r="J33" i="59" s="1"/>
  <c r="CC14" i="56"/>
  <c r="J16" i="59" s="1"/>
  <c r="CC15" i="56"/>
  <c r="J17" i="59" s="1"/>
  <c r="CC16" i="56"/>
  <c r="J18" i="59" s="1"/>
  <c r="CC17" i="56"/>
  <c r="J19" i="59" s="1"/>
  <c r="CC11" i="56"/>
  <c r="J13" i="59" s="1"/>
  <c r="I43" i="59"/>
  <c r="CC45" i="56"/>
  <c r="J47" i="59" s="1"/>
  <c r="CC3" i="56"/>
  <c r="J5" i="59" s="1"/>
  <c r="CC19" i="56"/>
  <c r="J21" i="59" s="1"/>
  <c r="CC10" i="56"/>
  <c r="J12" i="59" s="1"/>
  <c r="CC33" i="56"/>
  <c r="J35" i="59" s="1"/>
  <c r="CC25" i="56"/>
  <c r="J27" i="59" s="1"/>
  <c r="CC32" i="56"/>
  <c r="J34" i="5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23767</author>
  </authors>
  <commentList>
    <comment ref="AB43" authorId="0" shapeId="0" xr:uid="{6E5B8DEB-A92C-4C43-A06D-D55A615AA69E}">
      <text>
        <r>
          <rPr>
            <b/>
            <sz val="9"/>
            <color indexed="81"/>
            <rFont val="Tahoma"/>
            <family val="2"/>
          </rPr>
          <t>23767:</t>
        </r>
        <r>
          <rPr>
            <sz val="9"/>
            <color indexed="81"/>
            <rFont val="Tahoma"/>
            <family val="2"/>
          </rPr>
          <t xml:space="preserve">
Pre chevalier: il a demandé 2400000, en déduisan son pre couran de 610000, il rese à lui everser 1790000.
Son remboursement de juillet 2025 a eu un surplus de 90000, raison pour laquelle son prêt passe à 1 700 000</t>
        </r>
      </text>
    </comment>
    <comment ref="AC43" authorId="0" shapeId="0" xr:uid="{94C0192C-24F4-4FFE-99BB-03C612D8E8BF}">
      <text>
        <r>
          <rPr>
            <b/>
            <sz val="9"/>
            <color indexed="81"/>
            <rFont val="Tahoma"/>
            <family val="2"/>
          </rPr>
          <t>23767: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Hernanadez LELE</author>
  </authors>
  <commentList>
    <comment ref="E7" authorId="0" shapeId="0" xr:uid="{5EFD2DF2-27B3-408C-A3F1-26A870781DF8}">
      <text>
        <r>
          <rPr>
            <b/>
            <sz val="9"/>
            <color indexed="81"/>
            <rFont val="Tahoma"/>
            <family val="2"/>
          </rPr>
          <t>Hernanadez LELE:</t>
        </r>
        <r>
          <rPr>
            <sz val="9"/>
            <color indexed="81"/>
            <rFont val="Tahoma"/>
            <family val="2"/>
          </rPr>
          <t xml:space="preserve">
Bien vouloir dérouler la liste et faire votre choix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Hernanadez LELE</author>
  </authors>
  <commentList>
    <comment ref="E7" authorId="0" shapeId="0" xr:uid="{5074D478-8855-4281-BBCB-A2F8BA64C679}">
      <text>
        <r>
          <rPr>
            <b/>
            <sz val="9"/>
            <color indexed="81"/>
            <rFont val="Tahoma"/>
            <family val="2"/>
          </rPr>
          <t>Hernanadez LELE:</t>
        </r>
        <r>
          <rPr>
            <sz val="9"/>
            <color indexed="81"/>
            <rFont val="Tahoma"/>
            <family val="2"/>
          </rPr>
          <t xml:space="preserve">
Bien vouloir dérouler la liste et faire votre choix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Hernanadez LELE</author>
  </authors>
  <commentList>
    <comment ref="E7" authorId="0" shapeId="0" xr:uid="{CD1C5DC4-69B5-4123-B598-15283F75C84C}">
      <text>
        <r>
          <rPr>
            <b/>
            <sz val="9"/>
            <color indexed="81"/>
            <rFont val="Tahoma"/>
            <family val="2"/>
          </rPr>
          <t>Hernanadez LELE:</t>
        </r>
        <r>
          <rPr>
            <sz val="9"/>
            <color indexed="81"/>
            <rFont val="Tahoma"/>
            <family val="2"/>
          </rPr>
          <t xml:space="preserve">
Bien vouloir dérouler la liste et faire votre choix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Hernanadez LELE</author>
  </authors>
  <commentList>
    <comment ref="E7" authorId="0" shapeId="0" xr:uid="{CE711482-47AE-470B-9122-6BC3F09EE9E9}">
      <text>
        <r>
          <rPr>
            <b/>
            <sz val="9"/>
            <color indexed="81"/>
            <rFont val="Tahoma"/>
            <family val="2"/>
          </rPr>
          <t>Hernanadez LELE:</t>
        </r>
        <r>
          <rPr>
            <sz val="9"/>
            <color indexed="81"/>
            <rFont val="Tahoma"/>
            <family val="2"/>
          </rPr>
          <t xml:space="preserve">
Bien vouloir dérouler la liste et faire votre choix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Hernanadez LELE</author>
  </authors>
  <commentList>
    <comment ref="E7" authorId="0" shapeId="0" xr:uid="{55C4177A-98B3-4FF7-B953-ACE621BE0D9E}">
      <text>
        <r>
          <rPr>
            <b/>
            <sz val="9"/>
            <color indexed="81"/>
            <rFont val="Tahoma"/>
            <family val="2"/>
          </rPr>
          <t>Hernanadez LELE:</t>
        </r>
        <r>
          <rPr>
            <sz val="9"/>
            <color indexed="81"/>
            <rFont val="Tahoma"/>
            <family val="2"/>
          </rPr>
          <t xml:space="preserve">
Bien vouloir dérouler la liste et faire votre choix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Hernanadez LELE</author>
  </authors>
  <commentList>
    <comment ref="E7" authorId="0" shapeId="0" xr:uid="{2719F1E2-1D65-4E63-A377-4D42A11DE537}">
      <text>
        <r>
          <rPr>
            <b/>
            <sz val="9"/>
            <color indexed="81"/>
            <rFont val="Tahoma"/>
            <family val="2"/>
          </rPr>
          <t>Hernanadez LELE:</t>
        </r>
        <r>
          <rPr>
            <sz val="9"/>
            <color indexed="81"/>
            <rFont val="Tahoma"/>
            <family val="2"/>
          </rPr>
          <t xml:space="preserve">
Bien vouloir dérouler la liste et faire votre choix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Hernanadez LELE</author>
  </authors>
  <commentList>
    <comment ref="E7" authorId="0" shapeId="0" xr:uid="{394B7D3E-3099-41B6-9778-9B08DD0B0776}">
      <text>
        <r>
          <rPr>
            <b/>
            <sz val="9"/>
            <color indexed="81"/>
            <rFont val="Tahoma"/>
            <family val="2"/>
          </rPr>
          <t>Hernanadez LELE:</t>
        </r>
        <r>
          <rPr>
            <sz val="9"/>
            <color indexed="81"/>
            <rFont val="Tahoma"/>
            <family val="2"/>
          </rPr>
          <t xml:space="preserve">
Bien vouloir dérouler la liste et faire votre choix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Hernanadez LELE</author>
  </authors>
  <commentList>
    <comment ref="E7" authorId="0" shapeId="0" xr:uid="{C7164537-77A0-4E12-B621-1078D80D12A0}">
      <text>
        <r>
          <rPr>
            <b/>
            <sz val="9"/>
            <color indexed="81"/>
            <rFont val="Tahoma"/>
            <family val="2"/>
          </rPr>
          <t>Hernanadez LELE:</t>
        </r>
        <r>
          <rPr>
            <sz val="9"/>
            <color indexed="81"/>
            <rFont val="Tahoma"/>
            <family val="2"/>
          </rPr>
          <t xml:space="preserve">
Bien vouloir dérouler la liste et faire votre choix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Hernanadez LELE</author>
  </authors>
  <commentList>
    <comment ref="E7" authorId="0" shapeId="0" xr:uid="{DB131F22-044A-4517-9D08-19FD3E855015}">
      <text>
        <r>
          <rPr>
            <b/>
            <sz val="9"/>
            <color indexed="81"/>
            <rFont val="Tahoma"/>
            <family val="2"/>
          </rPr>
          <t>Hernanadez LELE:</t>
        </r>
        <r>
          <rPr>
            <sz val="9"/>
            <color indexed="81"/>
            <rFont val="Tahoma"/>
            <family val="2"/>
          </rPr>
          <t xml:space="preserve">
Bien vouloir dérouler la liste et faire votre choix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Hernanadez LELE</author>
  </authors>
  <commentList>
    <comment ref="E7" authorId="0" shapeId="0" xr:uid="{EFE4963A-20D3-4155-8FF1-4A8A62F7182B}">
      <text>
        <r>
          <rPr>
            <b/>
            <sz val="9"/>
            <color indexed="81"/>
            <rFont val="Tahoma"/>
            <family val="2"/>
          </rPr>
          <t>Hernanadez LELE:</t>
        </r>
        <r>
          <rPr>
            <sz val="9"/>
            <color indexed="81"/>
            <rFont val="Tahoma"/>
            <family val="2"/>
          </rPr>
          <t xml:space="preserve">
Bien vouloir dérouler la liste et faire votre choix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Hernanadez LELE</author>
  </authors>
  <commentList>
    <comment ref="E7" authorId="0" shapeId="0" xr:uid="{279D1692-449A-4895-B519-EE6F4FCF3D6F}">
      <text>
        <r>
          <rPr>
            <b/>
            <sz val="9"/>
            <color indexed="81"/>
            <rFont val="Tahoma"/>
            <family val="2"/>
          </rPr>
          <t>Hernanadez LELE:</t>
        </r>
        <r>
          <rPr>
            <sz val="9"/>
            <color indexed="81"/>
            <rFont val="Tahoma"/>
            <family val="2"/>
          </rPr>
          <t xml:space="preserve">
Bien vouloir dérouler la liste et faire votre choix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Hernanadez LELE</author>
  </authors>
  <commentList>
    <comment ref="E7" authorId="0" shapeId="0" xr:uid="{92A306F6-DE52-41A4-87D8-FF569B435398}">
      <text>
        <r>
          <rPr>
            <b/>
            <sz val="9"/>
            <color indexed="81"/>
            <rFont val="Tahoma"/>
            <family val="2"/>
          </rPr>
          <t>Hernanadez LELE:</t>
        </r>
        <r>
          <rPr>
            <sz val="9"/>
            <color indexed="81"/>
            <rFont val="Tahoma"/>
            <family val="2"/>
          </rPr>
          <t xml:space="preserve">
Bien vouloir dérouler la liste et faire votre choix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Hernanadez LELE</author>
  </authors>
  <commentList>
    <comment ref="E7" authorId="0" shapeId="0" xr:uid="{F5607DB0-49C6-4CD0-A340-BC82C3C04122}">
      <text>
        <r>
          <rPr>
            <b/>
            <sz val="9"/>
            <color indexed="81"/>
            <rFont val="Tahoma"/>
            <family val="2"/>
          </rPr>
          <t>Hernanadez LELE:</t>
        </r>
        <r>
          <rPr>
            <sz val="9"/>
            <color indexed="81"/>
            <rFont val="Tahoma"/>
            <family val="2"/>
          </rPr>
          <t xml:space="preserve">
Bien vouloir dérouler la liste et faire votre choix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Hernanadez LELE</author>
  </authors>
  <commentList>
    <comment ref="E7" authorId="0" shapeId="0" xr:uid="{A59FDC18-E126-4BA7-A7A9-AA7546FBFFDC}">
      <text>
        <r>
          <rPr>
            <b/>
            <sz val="9"/>
            <color indexed="81"/>
            <rFont val="Tahoma"/>
            <family val="2"/>
          </rPr>
          <t>Hernanadez LELE:</t>
        </r>
        <r>
          <rPr>
            <sz val="9"/>
            <color indexed="81"/>
            <rFont val="Tahoma"/>
            <family val="2"/>
          </rPr>
          <t xml:space="preserve">
Bien vouloir dérouler la liste et faire votre choix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Hernanadez LELE</author>
  </authors>
  <commentList>
    <comment ref="E7" authorId="0" shapeId="0" xr:uid="{6C2096F9-82B8-435C-98B8-0E349B9F7871}">
      <text>
        <r>
          <rPr>
            <b/>
            <sz val="9"/>
            <color indexed="81"/>
            <rFont val="Tahoma"/>
            <family val="2"/>
          </rPr>
          <t>Hernanadez LELE:</t>
        </r>
        <r>
          <rPr>
            <sz val="9"/>
            <color indexed="81"/>
            <rFont val="Tahoma"/>
            <family val="2"/>
          </rPr>
          <t xml:space="preserve">
Bien vouloir dérouler la liste et faire votre choix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Hernanadez LELE</author>
  </authors>
  <commentList>
    <comment ref="E7" authorId="0" shapeId="0" xr:uid="{5F255C95-BC45-48C2-A8BE-1E24A2F225F4}">
      <text>
        <r>
          <rPr>
            <b/>
            <sz val="9"/>
            <color indexed="81"/>
            <rFont val="Tahoma"/>
            <family val="2"/>
          </rPr>
          <t>Hernanadez LELE:</t>
        </r>
        <r>
          <rPr>
            <sz val="9"/>
            <color indexed="81"/>
            <rFont val="Tahoma"/>
            <family val="2"/>
          </rPr>
          <t xml:space="preserve">
Bien vouloir dérouler la liste et faire votre choix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Hernanadez LELE</author>
  </authors>
  <commentList>
    <comment ref="E7" authorId="0" shapeId="0" xr:uid="{9D1CA036-99E6-4204-AD9D-B58DBBA639FB}">
      <text>
        <r>
          <rPr>
            <b/>
            <sz val="9"/>
            <color indexed="81"/>
            <rFont val="Tahoma"/>
            <family val="2"/>
          </rPr>
          <t>Hernanadez LELE:</t>
        </r>
        <r>
          <rPr>
            <sz val="9"/>
            <color indexed="81"/>
            <rFont val="Tahoma"/>
            <family val="2"/>
          </rPr>
          <t xml:space="preserve">
Bien vouloir dérouler la liste et faire votre choix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Hernanadez LELE</author>
  </authors>
  <commentList>
    <comment ref="E7" authorId="0" shapeId="0" xr:uid="{F79DE1D3-252E-49BF-A541-86499EE4292D}">
      <text>
        <r>
          <rPr>
            <b/>
            <sz val="9"/>
            <color indexed="81"/>
            <rFont val="Tahoma"/>
            <family val="2"/>
          </rPr>
          <t>Hernanadez LELE:</t>
        </r>
        <r>
          <rPr>
            <sz val="9"/>
            <color indexed="81"/>
            <rFont val="Tahoma"/>
            <family val="2"/>
          </rPr>
          <t xml:space="preserve">
Bien vouloir dérouler la liste et faire votre choix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Hernanadez LELE</author>
  </authors>
  <commentList>
    <comment ref="E7" authorId="0" shapeId="0" xr:uid="{E6ABB8F0-1E81-4092-87A9-F27108B7FDEF}">
      <text>
        <r>
          <rPr>
            <b/>
            <sz val="9"/>
            <color indexed="81"/>
            <rFont val="Tahoma"/>
            <family val="2"/>
          </rPr>
          <t>Hernanadez LELE:</t>
        </r>
        <r>
          <rPr>
            <sz val="9"/>
            <color indexed="81"/>
            <rFont val="Tahoma"/>
            <family val="2"/>
          </rPr>
          <t xml:space="preserve">
Bien vouloir dérouler la liste et faire votre choix</t>
        </r>
      </text>
    </comment>
  </commentList>
</comments>
</file>

<file path=xl/sharedStrings.xml><?xml version="1.0" encoding="utf-8"?>
<sst xmlns="http://schemas.openxmlformats.org/spreadsheetml/2006/main" count="1054" uniqueCount="325">
  <si>
    <t>BOUSSEKO Narcisse</t>
  </si>
  <si>
    <t>DONGMO Clémence</t>
  </si>
  <si>
    <t>DONTSOP Jackson</t>
  </si>
  <si>
    <t>IFOU Sylvia</t>
  </si>
  <si>
    <t>KUITCHE Chevalier de Dieu</t>
  </si>
  <si>
    <t>LELE SIAKA Hernandez</t>
  </si>
  <si>
    <t>MOMIE Emilie</t>
  </si>
  <si>
    <t>MONTE Valdese</t>
  </si>
  <si>
    <t>NOUTSA Eugène</t>
  </si>
  <si>
    <t>SONGOU Sainclaire</t>
  </si>
  <si>
    <t>TAKOULEU Richardson</t>
  </si>
  <si>
    <t>TCHIOFO Appolinie</t>
  </si>
  <si>
    <t>TCHIOFO Fidélia</t>
  </si>
  <si>
    <t>TCHIOFO Paulin</t>
  </si>
  <si>
    <t>TCHIOFO Rodine</t>
  </si>
  <si>
    <t>TCHIOFO Sorelle</t>
  </si>
  <si>
    <t>TITNKHEU Moïse</t>
  </si>
  <si>
    <t>WANGUN Parfait</t>
  </si>
  <si>
    <t>YOUDOM Nadine</t>
  </si>
  <si>
    <t>DAGOBERT</t>
  </si>
  <si>
    <t>N°</t>
  </si>
  <si>
    <t>Nom épargnant</t>
  </si>
  <si>
    <t>Cumul épargne</t>
  </si>
  <si>
    <t>Total</t>
  </si>
  <si>
    <t>Total épargne</t>
  </si>
  <si>
    <t>DJEUNOU Donna</t>
  </si>
  <si>
    <t>Intérêt sur prêt généré:</t>
  </si>
  <si>
    <t>Centre-Sud-Est</t>
  </si>
  <si>
    <t>Diaspora</t>
  </si>
  <si>
    <t>Littoral</t>
  </si>
  <si>
    <t>Ouest</t>
  </si>
  <si>
    <t>Mars</t>
  </si>
  <si>
    <t>Mai</t>
  </si>
  <si>
    <t>Juin</t>
  </si>
  <si>
    <t>Août</t>
  </si>
  <si>
    <t>Oct.</t>
  </si>
  <si>
    <t>Nov.</t>
  </si>
  <si>
    <t>Déc.</t>
  </si>
  <si>
    <t>Janv.</t>
  </si>
  <si>
    <t>Févr.</t>
  </si>
  <si>
    <t>Avr.</t>
  </si>
  <si>
    <t>Juil.</t>
  </si>
  <si>
    <t>Sept.</t>
  </si>
  <si>
    <t>Total à rembourser</t>
  </si>
  <si>
    <t>Secteur du prêteur:</t>
  </si>
  <si>
    <t>Nom du prêteur:</t>
  </si>
  <si>
    <t>Mois du prêt:</t>
  </si>
  <si>
    <t>N° CNI:</t>
  </si>
  <si>
    <t>mois</t>
  </si>
  <si>
    <t>Durée du prêt:</t>
  </si>
  <si>
    <t>ECHOLENNEMENT D'UNE  DETTE DANS LA MICROFINANCE CAMDVI</t>
  </si>
  <si>
    <t>Echolennement de la dette</t>
  </si>
  <si>
    <t>*Bien vouloir renseigner uniquement les cases vertes</t>
  </si>
  <si>
    <t>Échéance du prêt</t>
  </si>
  <si>
    <t>Montant à percevoir (1)</t>
  </si>
  <si>
    <t>Montant percu (2)</t>
  </si>
  <si>
    <t>(1)-(2)</t>
  </si>
  <si>
    <t>Taux intérêt cumulé:</t>
  </si>
  <si>
    <t>NOMS</t>
  </si>
  <si>
    <t>Montant prêt</t>
  </si>
  <si>
    <t>Montant intérêt</t>
  </si>
  <si>
    <t>Mois du prêt</t>
  </si>
  <si>
    <t>Montant global à rembourser</t>
  </si>
  <si>
    <t>Commentaire</t>
  </si>
  <si>
    <t>Prêt antérieur à la microfinance</t>
  </si>
  <si>
    <t>SONGOU Sainclair</t>
  </si>
  <si>
    <t>YIMKWAN Christel</t>
  </si>
  <si>
    <t>Oct. 2021</t>
  </si>
  <si>
    <t>Durée du prêt (en mois)</t>
  </si>
  <si>
    <t>Taux intérêt cumulé</t>
  </si>
  <si>
    <t>DOUNTSOP Jackson</t>
  </si>
  <si>
    <t>Reste à rembourser</t>
  </si>
  <si>
    <t>RECAPITULATIF DES DETTES DANS LA MICROFINANCE CAMDVI</t>
  </si>
  <si>
    <t>Montant global à rembourser:</t>
  </si>
  <si>
    <t>Régularisation trésorerie</t>
  </si>
  <si>
    <t>Montant dette</t>
  </si>
  <si>
    <t>Montant prêt:</t>
  </si>
  <si>
    <t>LELE Hernandez</t>
  </si>
  <si>
    <t>Échéance dette</t>
  </si>
  <si>
    <t>Date dette</t>
  </si>
  <si>
    <t>Nov. 2021</t>
  </si>
  <si>
    <t xml:space="preserve">Total </t>
  </si>
  <si>
    <t>Prêt microfinance</t>
  </si>
  <si>
    <t>05 Juin. 2022</t>
  </si>
  <si>
    <t>Taux de recouv.</t>
  </si>
  <si>
    <t>Janv. 2022</t>
  </si>
  <si>
    <t>TITNKHEU Moïse/DJEUKA</t>
  </si>
  <si>
    <t>Fonds transféré</t>
  </si>
  <si>
    <t>Epargnes 2021</t>
  </si>
  <si>
    <t>Taux intérêt</t>
  </si>
  <si>
    <t>Intérêt</t>
  </si>
  <si>
    <t>05 Déc. 2021</t>
  </si>
  <si>
    <t>05 Nov. 2021</t>
  </si>
  <si>
    <t>*En texte rouge, les personnes n'ayant pas encore soldé leurs dettes à l'échéance</t>
  </si>
  <si>
    <t>Montant déjà remboursé</t>
  </si>
  <si>
    <t>Fév. 2022</t>
  </si>
  <si>
    <t>10 Oct. 2022</t>
  </si>
  <si>
    <t>10 Fev. 2022</t>
  </si>
  <si>
    <t>10 Mai. 2022</t>
  </si>
  <si>
    <t>* En fond vert, les personnes ayant soldé leurs dettes</t>
  </si>
  <si>
    <t>Prêt remboursé</t>
  </si>
  <si>
    <t>Avril. 2022</t>
  </si>
  <si>
    <t>KUITCHE Chevalier</t>
  </si>
  <si>
    <t>Mai. 2022</t>
  </si>
  <si>
    <t>10 Nov. 2022</t>
  </si>
  <si>
    <t>Juil. 2022</t>
  </si>
  <si>
    <t>10 Avril. 2023</t>
  </si>
  <si>
    <t>10 Fév. 2023</t>
  </si>
  <si>
    <t>Août. 2022</t>
  </si>
  <si>
    <t>SOLDE EN CAISSE</t>
  </si>
  <si>
    <t>Nov. 2022</t>
  </si>
  <si>
    <t>Juil</t>
  </si>
  <si>
    <t>Sept</t>
  </si>
  <si>
    <t>Oct</t>
  </si>
  <si>
    <t>Nov</t>
  </si>
  <si>
    <t>Déc</t>
  </si>
  <si>
    <t>Janv</t>
  </si>
  <si>
    <t>10 Août. 2023</t>
  </si>
  <si>
    <t>10 Sep. 2023</t>
  </si>
  <si>
    <t>TCHOFO paulin</t>
  </si>
  <si>
    <t>Janv. 2023</t>
  </si>
  <si>
    <t>10 Oct. 2023</t>
  </si>
  <si>
    <t>TASSE Narcisse</t>
  </si>
  <si>
    <t>Fév. 2023</t>
  </si>
  <si>
    <t>Mars. 2023</t>
  </si>
  <si>
    <t>Avril. 2023</t>
  </si>
  <si>
    <t>Mai. 2023</t>
  </si>
  <si>
    <t>Prêt</t>
  </si>
  <si>
    <t>remboursement</t>
  </si>
  <si>
    <t>AP. M+1</t>
  </si>
  <si>
    <t>AP. M+2</t>
  </si>
  <si>
    <t>AP. M+3</t>
  </si>
  <si>
    <t>AP. M+4</t>
  </si>
  <si>
    <t>AP. M+5</t>
  </si>
  <si>
    <t>AP. M+6</t>
  </si>
  <si>
    <t>AP. M+7</t>
  </si>
  <si>
    <t>AP. M+8</t>
  </si>
  <si>
    <t>AP. M+9</t>
  </si>
  <si>
    <t>AP. M+10</t>
  </si>
  <si>
    <t>AP. M+11</t>
  </si>
  <si>
    <t>AP. M+12</t>
  </si>
  <si>
    <t>AP. M+13</t>
  </si>
  <si>
    <t>AP. M+14</t>
  </si>
  <si>
    <t>AP. M+15</t>
  </si>
  <si>
    <t>AP. M+16</t>
  </si>
  <si>
    <t>AP. M+17</t>
  </si>
  <si>
    <t>AP. M+18</t>
  </si>
  <si>
    <t>AP. M+19</t>
  </si>
  <si>
    <t>AP. M+20</t>
  </si>
  <si>
    <t>AP. M+21</t>
  </si>
  <si>
    <t>Interêt M</t>
  </si>
  <si>
    <t>Intérêt M+1</t>
  </si>
  <si>
    <t>Total intérêt</t>
  </si>
  <si>
    <t>Intérêt relatif</t>
  </si>
  <si>
    <t>Intérêt M+2</t>
  </si>
  <si>
    <t>Intérêt M+3</t>
  </si>
  <si>
    <t>Intérêt M+4</t>
  </si>
  <si>
    <t>Intérêt M+5</t>
  </si>
  <si>
    <t>Intérêt M+6</t>
  </si>
  <si>
    <t>Intérêt M+7</t>
  </si>
  <si>
    <t>Intérêt M+8</t>
  </si>
  <si>
    <t>Intérêt M+9</t>
  </si>
  <si>
    <t>Intérêt M+10</t>
  </si>
  <si>
    <t>Intérêt M+11</t>
  </si>
  <si>
    <t>Intérêt M+12</t>
  </si>
  <si>
    <t>Intérêt M+13</t>
  </si>
  <si>
    <t>Intérêt M+14</t>
  </si>
  <si>
    <t>Intérêt M+15</t>
  </si>
  <si>
    <t>Intérêt M+16</t>
  </si>
  <si>
    <t>Intérêt M+17</t>
  </si>
  <si>
    <t>Intérêt M+18</t>
  </si>
  <si>
    <t>Intérêt M+19</t>
  </si>
  <si>
    <t>Intérêt M+20</t>
  </si>
  <si>
    <t>Intérêt M+21</t>
  </si>
  <si>
    <t>Part relative</t>
  </si>
  <si>
    <t>Total théorique à percevoir</t>
  </si>
  <si>
    <t>Juin. 2023</t>
  </si>
  <si>
    <t xml:space="preserve"> 29 Juil. 2023</t>
  </si>
  <si>
    <t>Pénalités</t>
  </si>
  <si>
    <t>Prime Comité gestion</t>
  </si>
  <si>
    <t>Total net à percevoir</t>
  </si>
  <si>
    <t>Total théorique +Bonus-Malus</t>
  </si>
  <si>
    <t xml:space="preserve">Bonus/Malus apuration anciennes dettes </t>
  </si>
  <si>
    <t>Prêts en cours:</t>
  </si>
  <si>
    <t>Solde en caisse:</t>
  </si>
  <si>
    <t>Repport cassation N-1</t>
  </si>
  <si>
    <t>Paiement Cassation</t>
  </si>
  <si>
    <t>Tony</t>
  </si>
  <si>
    <t>Durée dette (en mois)</t>
  </si>
  <si>
    <t>Intérêt M+22</t>
  </si>
  <si>
    <t>Intérêt M+23</t>
  </si>
  <si>
    <t>AP. M+23</t>
  </si>
  <si>
    <t>AP. M+22</t>
  </si>
  <si>
    <t>Taux remboursement:</t>
  </si>
  <si>
    <t>Total pénalité:</t>
  </si>
  <si>
    <t>Autres dépenses</t>
  </si>
  <si>
    <r>
      <t xml:space="preserve">Mois </t>
    </r>
    <r>
      <rPr>
        <b/>
        <sz val="8"/>
        <color theme="0"/>
        <rFont val="Arial"/>
        <family val="2"/>
      </rPr>
      <t>(Au plus tard le 10 de chaque mois</t>
    </r>
    <r>
      <rPr>
        <b/>
        <sz val="12"/>
        <color theme="0"/>
        <rFont val="Arial"/>
        <family val="2"/>
      </rPr>
      <t>)</t>
    </r>
  </si>
  <si>
    <t>Total prêt nouveau tournoi:</t>
  </si>
  <si>
    <t>Total intérêt nouveau tournoi:</t>
  </si>
  <si>
    <t>Total remboursé nouveau tournoi:</t>
  </si>
  <si>
    <t>TCHIOFO Appolonie</t>
  </si>
  <si>
    <t>PANGANG Michel</t>
  </si>
  <si>
    <t>MIAFO Franklin</t>
  </si>
  <si>
    <t>NTETDE Dagobert</t>
  </si>
  <si>
    <t>TCHIO Ricardo</t>
  </si>
  <si>
    <t>TCHIOFO Fidelia</t>
  </si>
  <si>
    <t>Fev. 2025</t>
  </si>
  <si>
    <t>NONO Brice</t>
  </si>
  <si>
    <t>MAKOUGOUM Kelly</t>
  </si>
  <si>
    <t>10 oct. 2025</t>
  </si>
  <si>
    <t>10 Oct. 2026</t>
  </si>
  <si>
    <t>Août 2025</t>
  </si>
  <si>
    <t>10 Juil. 2026</t>
  </si>
  <si>
    <t>Epargne Août. 2025</t>
  </si>
  <si>
    <t>Epargne Sept. 2025</t>
  </si>
  <si>
    <t>Epargne Oct. 2025</t>
  </si>
  <si>
    <t>Epargne Nov. 2025</t>
  </si>
  <si>
    <t>Epargne Déc. 2025</t>
  </si>
  <si>
    <t>Epargne Janv. 2026</t>
  </si>
  <si>
    <t>Epargne Fév. 2026</t>
  </si>
  <si>
    <t>Epargne Mars. 2026</t>
  </si>
  <si>
    <t>Epargne Avril. 2026</t>
  </si>
  <si>
    <t>Epargne Mai. 2026</t>
  </si>
  <si>
    <t>Epargne Juin. 2026</t>
  </si>
  <si>
    <t>Epargne Juil. 2026</t>
  </si>
  <si>
    <t>Epargne Août. 2026</t>
  </si>
  <si>
    <t>Epargne Sept. 2026</t>
  </si>
  <si>
    <t>Epargne Oct. 2026</t>
  </si>
  <si>
    <t>Epargne Nov. 2026</t>
  </si>
  <si>
    <t>Epargne Déc. 2026</t>
  </si>
  <si>
    <t>Epargne Janv. 2027</t>
  </si>
  <si>
    <t>Epargne Fév. 2027</t>
  </si>
  <si>
    <t>Epargne Mars. 2027</t>
  </si>
  <si>
    <t>Epargne Avril. 2027</t>
  </si>
  <si>
    <t>Epargne Mai. 2027</t>
  </si>
  <si>
    <t>Epargne Juin. 2027</t>
  </si>
  <si>
    <t>Epargne Juil. 2027</t>
  </si>
  <si>
    <t>10 Sept. 2026</t>
  </si>
  <si>
    <t>10 Sept. 2027</t>
  </si>
  <si>
    <t>Févr</t>
  </si>
  <si>
    <t>Avr</t>
  </si>
  <si>
    <t>Août-2025</t>
  </si>
  <si>
    <t>10 Juin. 2026</t>
  </si>
  <si>
    <t>Févr.-2025</t>
  </si>
  <si>
    <t>Octobre 2025</t>
  </si>
  <si>
    <t>TOTUE Sammuel</t>
  </si>
  <si>
    <t>10 Mai. 2027</t>
  </si>
  <si>
    <t>10 Fév. 2026</t>
  </si>
  <si>
    <t>Oct-2025</t>
  </si>
  <si>
    <t>Novemvre 2025</t>
  </si>
  <si>
    <t>10 Déc. 2026</t>
  </si>
  <si>
    <t>10 Mars. 2026</t>
  </si>
  <si>
    <t>Nov-2025</t>
  </si>
  <si>
    <t>Decembre 2025</t>
  </si>
  <si>
    <t>10 Mai 2025</t>
  </si>
  <si>
    <t>Décembre 2025</t>
  </si>
  <si>
    <t>Déc-2025</t>
  </si>
  <si>
    <t>Janvier 2026</t>
  </si>
  <si>
    <t>10 Fév. 2028</t>
  </si>
  <si>
    <t>10 Fev. 2026</t>
  </si>
  <si>
    <t>Janv-2026</t>
  </si>
  <si>
    <t>Janvier. 2026</t>
  </si>
  <si>
    <t>10 Fév 2028</t>
  </si>
  <si>
    <t>10 Mai 2026</t>
  </si>
  <si>
    <t>action1</t>
  </si>
  <si>
    <t>action14</t>
  </si>
  <si>
    <t>action15</t>
  </si>
  <si>
    <t>action2</t>
  </si>
  <si>
    <t>action3</t>
  </si>
  <si>
    <t>action4</t>
  </si>
  <si>
    <t>action5</t>
  </si>
  <si>
    <t>action6</t>
  </si>
  <si>
    <t>action7</t>
  </si>
  <si>
    <t>action8</t>
  </si>
  <si>
    <t>action9</t>
  </si>
  <si>
    <t>action10</t>
  </si>
  <si>
    <t>action11</t>
  </si>
  <si>
    <t>action12</t>
  </si>
  <si>
    <t>action13</t>
  </si>
  <si>
    <t>action16</t>
  </si>
  <si>
    <t>action17</t>
  </si>
  <si>
    <t>action18</t>
  </si>
  <si>
    <t>action19</t>
  </si>
  <si>
    <t>action20</t>
  </si>
  <si>
    <t>ACTIONNIRE1</t>
  </si>
  <si>
    <t>ACTIONNIRE2</t>
  </si>
  <si>
    <t>ACTIONNIRE3</t>
  </si>
  <si>
    <t>ACTIONNIRE4</t>
  </si>
  <si>
    <t>ACTIONNIRE5</t>
  </si>
  <si>
    <t>ACTIONNIRE6</t>
  </si>
  <si>
    <t>ACTIONNIRE7</t>
  </si>
  <si>
    <t>ACTIONNIRE8</t>
  </si>
  <si>
    <t>ACTIONNIRE9</t>
  </si>
  <si>
    <t>ACTIONNIRE10</t>
  </si>
  <si>
    <t>ACTIONNIRE11</t>
  </si>
  <si>
    <t>ACTIONNIRE12</t>
  </si>
  <si>
    <t>ACTIONNIRE13</t>
  </si>
  <si>
    <t>ACTIONNIRE14</t>
  </si>
  <si>
    <t>ACTIONNIRE15</t>
  </si>
  <si>
    <t>ACTIONNIRE16</t>
  </si>
  <si>
    <t>ACTIONNIRE17</t>
  </si>
  <si>
    <t>ACTIONNIRE18</t>
  </si>
  <si>
    <t>ACTIONNIRE19</t>
  </si>
  <si>
    <t>ACTIONNIRE20</t>
  </si>
  <si>
    <t>ACTIONNIRE21</t>
  </si>
  <si>
    <t>ACTIONNIRE22</t>
  </si>
  <si>
    <t>ACTIONNIRE23</t>
  </si>
  <si>
    <t>ACTIONNIRE24</t>
  </si>
  <si>
    <t>ACTIONNIRE25</t>
  </si>
  <si>
    <t>ACTIONNIRE26</t>
  </si>
  <si>
    <t>ACTIONNIRE27</t>
  </si>
  <si>
    <t>ACTIONNIRE28</t>
  </si>
  <si>
    <t>ACTIONNIRE29</t>
  </si>
  <si>
    <t>ACTIONNIRE30</t>
  </si>
  <si>
    <t>ACTIONNIRE31</t>
  </si>
  <si>
    <t>ACTIONNIRE32</t>
  </si>
  <si>
    <t>ACTIONNIRE33</t>
  </si>
  <si>
    <t>ACTIONNIRE34</t>
  </si>
  <si>
    <t>ACTIONNIRE35</t>
  </si>
  <si>
    <t>ACTIONNIRE36</t>
  </si>
  <si>
    <t>ACTIONNIRE37</t>
  </si>
  <si>
    <t>ACTIONNIRE38</t>
  </si>
  <si>
    <t>ACTIONNIRE39</t>
  </si>
  <si>
    <t>ACTIONNIRE40</t>
  </si>
  <si>
    <t>ACTIONNIRE41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</si>
</sst>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[$-40C]mmm\-yy;@"/>
    <numFmt numFmtId="165" formatCode="0.0%"/>
  </numFmts>
  <fonts count="5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Arial"/>
      <family val="2"/>
    </font>
    <font>
      <b/>
      <sz val="10"/>
      <color rgb="FF92D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0"/>
      <name val="Arial"/>
      <family val="2"/>
    </font>
    <font>
      <b/>
      <i/>
      <sz val="14"/>
      <color theme="0" tint="-0.14999847407452621"/>
      <name val="Arial"/>
      <family val="2"/>
    </font>
    <font>
      <b/>
      <sz val="12"/>
      <color rgb="FFC00000"/>
      <name val="Arial"/>
      <family val="2"/>
    </font>
    <font>
      <sz val="12"/>
      <color rgb="FFC00000"/>
      <name val="Arial"/>
      <family val="2"/>
    </font>
    <font>
      <sz val="10"/>
      <color rgb="FFC00000"/>
      <name val="Arial"/>
      <family val="2"/>
    </font>
    <font>
      <b/>
      <sz val="14"/>
      <color rgb="FFC0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  <font>
      <b/>
      <sz val="15"/>
      <color theme="1"/>
      <name val="Arial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5"/>
      <name val="Times New Roman"/>
      <family val="1"/>
    </font>
    <font>
      <b/>
      <sz val="14"/>
      <color theme="0"/>
      <name val="Arial"/>
      <family val="2"/>
    </font>
    <font>
      <b/>
      <sz val="12"/>
      <color theme="0"/>
      <name val="Times New Roman"/>
      <family val="1"/>
    </font>
    <font>
      <b/>
      <sz val="12"/>
      <color rgb="FF002060"/>
      <name val="Times New Roman"/>
      <family val="1"/>
    </font>
    <font>
      <b/>
      <sz val="14"/>
      <color rgb="FF002060"/>
      <name val="Arial"/>
      <family val="2"/>
    </font>
    <font>
      <b/>
      <sz val="13"/>
      <color rgb="FF002060"/>
      <name val="Arial"/>
      <family val="2"/>
    </font>
    <font>
      <sz val="10"/>
      <color theme="2" tint="-0.89999084444715716"/>
      <name val="Arial"/>
      <family val="2"/>
    </font>
    <font>
      <sz val="11"/>
      <color theme="2" tint="-0.89999084444715716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12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 style="mediumDashed">
        <color auto="1"/>
      </right>
      <top style="medium">
        <color auto="1"/>
      </top>
      <bottom style="dotted">
        <color auto="1"/>
      </bottom>
      <diagonal/>
    </border>
    <border>
      <left style="mediumDashed">
        <color auto="1"/>
      </left>
      <right style="mediumDashed">
        <color auto="1"/>
      </right>
      <top style="medium">
        <color auto="1"/>
      </top>
      <bottom style="dotted">
        <color auto="1"/>
      </bottom>
      <diagonal/>
    </border>
    <border>
      <left style="mediumDash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Dashed">
        <color auto="1"/>
      </right>
      <top style="dotted">
        <color auto="1"/>
      </top>
      <bottom style="dotted">
        <color auto="1"/>
      </bottom>
      <diagonal/>
    </border>
    <border>
      <left style="mediumDashed">
        <color auto="1"/>
      </left>
      <right style="mediumDashed">
        <color auto="1"/>
      </right>
      <top style="dotted">
        <color auto="1"/>
      </top>
      <bottom style="dotted">
        <color auto="1"/>
      </bottom>
      <diagonal/>
    </border>
    <border>
      <left style="mediumDash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Dashed">
        <color auto="1"/>
      </left>
      <right style="mediumDashed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 style="mediumDashed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DashDotDot">
        <color auto="1"/>
      </right>
      <top style="medium">
        <color auto="1"/>
      </top>
      <bottom style="slantDashDot">
        <color auto="1"/>
      </bottom>
      <diagonal/>
    </border>
    <border>
      <left style="mediumDashDotDot">
        <color auto="1"/>
      </left>
      <right style="mediumDashDotDot">
        <color auto="1"/>
      </right>
      <top style="medium">
        <color auto="1"/>
      </top>
      <bottom style="slantDashDot">
        <color auto="1"/>
      </bottom>
      <diagonal/>
    </border>
    <border>
      <left style="mediumDashDotDot">
        <color auto="1"/>
      </left>
      <right style="medium">
        <color auto="1"/>
      </right>
      <top style="medium">
        <color auto="1"/>
      </top>
      <bottom style="slantDashDot">
        <color auto="1"/>
      </bottom>
      <diagonal/>
    </border>
    <border>
      <left style="medium">
        <color auto="1"/>
      </left>
      <right style="mediumDashDotDot">
        <color auto="1"/>
      </right>
      <top style="slantDashDot">
        <color auto="1"/>
      </top>
      <bottom style="slantDashDot">
        <color auto="1"/>
      </bottom>
      <diagonal/>
    </border>
    <border>
      <left style="mediumDashDotDot">
        <color auto="1"/>
      </left>
      <right style="mediumDashDotDot">
        <color auto="1"/>
      </right>
      <top style="slantDashDot">
        <color auto="1"/>
      </top>
      <bottom style="slantDashDot">
        <color auto="1"/>
      </bottom>
      <diagonal/>
    </border>
    <border>
      <left style="mediumDashDotDot">
        <color auto="1"/>
      </left>
      <right style="medium">
        <color auto="1"/>
      </right>
      <top style="slantDashDot">
        <color auto="1"/>
      </top>
      <bottom style="slantDashDot">
        <color auto="1"/>
      </bottom>
      <diagonal/>
    </border>
    <border>
      <left style="medium">
        <color auto="1"/>
      </left>
      <right style="mediumDashDotDot">
        <color auto="1"/>
      </right>
      <top style="slantDashDot">
        <color auto="1"/>
      </top>
      <bottom style="medium">
        <color auto="1"/>
      </bottom>
      <diagonal/>
    </border>
    <border>
      <left style="mediumDashDotDot">
        <color auto="1"/>
      </left>
      <right style="mediumDashDotDot">
        <color auto="1"/>
      </right>
      <top style="slantDashDot">
        <color auto="1"/>
      </top>
      <bottom style="medium">
        <color auto="1"/>
      </bottom>
      <diagonal/>
    </border>
    <border>
      <left style="mediumDashDotDot">
        <color auto="1"/>
      </left>
      <right style="medium">
        <color auto="1"/>
      </right>
      <top style="slantDashDot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dashDotDot">
        <color auto="1"/>
      </right>
      <top style="mediumDashed">
        <color auto="1"/>
      </top>
      <bottom style="thick">
        <color auto="1"/>
      </bottom>
      <diagonal/>
    </border>
    <border>
      <left style="dashDotDot">
        <color auto="1"/>
      </left>
      <right style="dashDotDot">
        <color auto="1"/>
      </right>
      <top style="mediumDashed">
        <color auto="1"/>
      </top>
      <bottom style="thick">
        <color auto="1"/>
      </bottom>
      <diagonal/>
    </border>
    <border>
      <left style="dashDotDot">
        <color auto="1"/>
      </left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dashDotDot">
        <color auto="1"/>
      </right>
      <top style="thick">
        <color auto="1"/>
      </top>
      <bottom style="thick">
        <color auto="1"/>
      </bottom>
      <diagonal/>
    </border>
    <border>
      <left style="dashDotDot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ashDot">
        <color auto="1"/>
      </right>
      <top style="thick">
        <color auto="1"/>
      </top>
      <bottom style="mediumDashed">
        <color auto="1"/>
      </bottom>
      <diagonal/>
    </border>
    <border>
      <left style="dashDot">
        <color auto="1"/>
      </left>
      <right style="dashDot">
        <color auto="1"/>
      </right>
      <top style="thick">
        <color auto="1"/>
      </top>
      <bottom style="mediumDashed">
        <color auto="1"/>
      </bottom>
      <diagonal/>
    </border>
    <border>
      <left style="dashDot">
        <color auto="1"/>
      </left>
      <right style="thick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dashDot">
        <color auto="1"/>
      </right>
      <top style="mediumDashed">
        <color auto="1"/>
      </top>
      <bottom style="mediumDashed">
        <color auto="1"/>
      </bottom>
      <diagonal/>
    </border>
    <border>
      <left style="dashDot">
        <color auto="1"/>
      </left>
      <right style="dashDot">
        <color auto="1"/>
      </right>
      <top style="mediumDashed">
        <color auto="1"/>
      </top>
      <bottom style="mediumDashed">
        <color auto="1"/>
      </bottom>
      <diagonal/>
    </border>
    <border>
      <left style="dashDot">
        <color auto="1"/>
      </left>
      <right style="thick">
        <color auto="1"/>
      </right>
      <top style="mediumDashed">
        <color auto="1"/>
      </top>
      <bottom style="mediumDashed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n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mediumDash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mediumDashed">
        <color auto="1"/>
      </left>
      <right style="mediumDashed">
        <color auto="1"/>
      </right>
      <top style="dotted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Dashed">
        <color auto="1"/>
      </right>
      <top style="thick">
        <color auto="1"/>
      </top>
      <bottom style="medium">
        <color auto="1"/>
      </bottom>
      <diagonal/>
    </border>
    <border>
      <left style="mediumDashed">
        <color auto="1"/>
      </left>
      <right style="mediumDashed">
        <color auto="1"/>
      </right>
      <top style="thick">
        <color auto="1"/>
      </top>
      <bottom style="medium">
        <color auto="1"/>
      </bottom>
      <diagonal/>
    </border>
    <border>
      <left style="mediumDashed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Dashed">
        <color auto="1"/>
      </right>
      <top style="medium">
        <color auto="1"/>
      </top>
      <bottom style="medium">
        <color auto="1"/>
      </bottom>
      <diagonal/>
    </border>
    <border>
      <left style="mediumDashed">
        <color auto="1"/>
      </left>
      <right style="mediumDashed">
        <color auto="1"/>
      </right>
      <top style="medium">
        <color auto="1"/>
      </top>
      <bottom style="medium">
        <color auto="1"/>
      </bottom>
      <diagonal/>
    </border>
    <border>
      <left style="mediumDashed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Dashed">
        <color auto="1"/>
      </right>
      <top style="medium">
        <color auto="1"/>
      </top>
      <bottom style="thick">
        <color auto="1"/>
      </bottom>
      <diagonal/>
    </border>
    <border>
      <left style="mediumDashed">
        <color auto="1"/>
      </left>
      <right style="mediumDashed">
        <color auto="1"/>
      </right>
      <top style="medium">
        <color auto="1"/>
      </top>
      <bottom style="thick">
        <color auto="1"/>
      </bottom>
      <diagonal/>
    </border>
    <border>
      <left style="mediumDashed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Dashed">
        <color auto="1"/>
      </left>
      <right/>
      <top style="thick">
        <color auto="1"/>
      </top>
      <bottom style="medium">
        <color auto="1"/>
      </bottom>
      <diagonal/>
    </border>
    <border>
      <left style="mediumDashed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 style="mediumDashed">
        <color auto="1"/>
      </left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 style="mediumDashed">
        <color auto="1"/>
      </left>
      <right/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dotted">
        <color auto="1"/>
      </top>
      <bottom/>
      <diagonal/>
    </border>
    <border>
      <left style="mediumDashed">
        <color auto="1"/>
      </left>
      <right style="mediumDashed">
        <color auto="1"/>
      </right>
      <top style="dotted">
        <color auto="1"/>
      </top>
      <bottom/>
      <diagonal/>
    </border>
    <border>
      <left style="mediumDashed">
        <color auto="1"/>
      </left>
      <right/>
      <top style="dotted">
        <color auto="1"/>
      </top>
      <bottom/>
      <diagonal/>
    </border>
    <border>
      <left/>
      <right style="mediumDashed">
        <color auto="1"/>
      </right>
      <top style="dotted">
        <color auto="1"/>
      </top>
      <bottom/>
      <diagonal/>
    </border>
  </borders>
  <cellStyleXfs count="3">
    <xf numFmtId="0" fontId="0" fillId="0" borderId="0"/>
    <xf numFmtId="9" fontId="18" fillId="0" borderId="0" applyFont="0" applyFill="0" applyBorder="0" applyAlignment="0" applyProtection="0"/>
    <xf numFmtId="41" fontId="18" fillId="0" borderId="0" applyFont="0" applyFill="0" applyBorder="0" applyAlignment="0" applyProtection="0"/>
  </cellStyleXfs>
  <cellXfs count="292">
    <xf numFmtId="0" fontId="0" fillId="0" borderId="0" xfId="0"/>
    <xf numFmtId="17" fontId="0" fillId="0" borderId="0" xfId="0" applyNumberFormat="1"/>
    <xf numFmtId="0" fontId="1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  <xf numFmtId="0" fontId="7" fillId="0" borderId="4" xfId="0" applyFont="1" applyBorder="1" applyProtection="1">
      <protection locked="0"/>
    </xf>
    <xf numFmtId="0" fontId="7" fillId="0" borderId="5" xfId="0" applyFont="1" applyBorder="1" applyProtection="1">
      <protection locked="0"/>
    </xf>
    <xf numFmtId="3" fontId="7" fillId="0" borderId="5" xfId="0" applyNumberFormat="1" applyFont="1" applyBorder="1" applyProtection="1">
      <protection locked="0"/>
    </xf>
    <xf numFmtId="3" fontId="8" fillId="0" borderId="7" xfId="0" applyNumberFormat="1" applyFont="1" applyBorder="1"/>
    <xf numFmtId="0" fontId="10" fillId="0" borderId="0" xfId="0" applyFont="1"/>
    <xf numFmtId="0" fontId="11" fillId="0" borderId="0" xfId="0" applyFont="1"/>
    <xf numFmtId="0" fontId="2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1" xfId="0" applyFont="1" applyBorder="1" applyProtection="1">
      <protection locked="0"/>
    </xf>
    <xf numFmtId="0" fontId="8" fillId="0" borderId="2" xfId="0" applyFont="1" applyBorder="1" applyProtection="1">
      <protection locked="0"/>
    </xf>
    <xf numFmtId="17" fontId="8" fillId="0" borderId="2" xfId="0" applyNumberFormat="1" applyFont="1" applyBorder="1" applyProtection="1">
      <protection locked="0"/>
    </xf>
    <xf numFmtId="17" fontId="8" fillId="0" borderId="3" xfId="0" applyNumberFormat="1" applyFont="1" applyBorder="1" applyProtection="1">
      <protection locked="0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8" fillId="0" borderId="0" xfId="0" applyNumberFormat="1" applyFont="1"/>
    <xf numFmtId="3" fontId="13" fillId="5" borderId="19" xfId="0" applyNumberFormat="1" applyFont="1" applyFill="1" applyBorder="1" applyAlignment="1">
      <alignment horizontal="center"/>
    </xf>
    <xf numFmtId="164" fontId="9" fillId="0" borderId="0" xfId="0" applyNumberFormat="1" applyFont="1"/>
    <xf numFmtId="3" fontId="9" fillId="2" borderId="26" xfId="0" applyNumberFormat="1" applyFont="1" applyFill="1" applyBorder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3" fillId="5" borderId="19" xfId="0" applyFont="1" applyFill="1" applyBorder="1" applyAlignment="1">
      <alignment horizontal="center"/>
    </xf>
    <xf numFmtId="9" fontId="13" fillId="5" borderId="19" xfId="0" applyNumberFormat="1" applyFont="1" applyFill="1" applyBorder="1" applyAlignment="1">
      <alignment horizontal="center"/>
    </xf>
    <xf numFmtId="0" fontId="14" fillId="0" borderId="0" xfId="0" applyFont="1"/>
    <xf numFmtId="3" fontId="13" fillId="6" borderId="19" xfId="0" applyNumberFormat="1" applyFont="1" applyFill="1" applyBorder="1" applyAlignment="1" applyProtection="1">
      <alignment horizontal="center"/>
      <protection locked="0"/>
    </xf>
    <xf numFmtId="0" fontId="9" fillId="4" borderId="0" xfId="0" applyFont="1" applyFill="1" applyAlignment="1">
      <alignment horizontal="right"/>
    </xf>
    <xf numFmtId="164" fontId="2" fillId="0" borderId="0" xfId="0" applyNumberFormat="1" applyFont="1"/>
    <xf numFmtId="0" fontId="13" fillId="8" borderId="30" xfId="0" applyFont="1" applyFill="1" applyBorder="1" applyAlignment="1">
      <alignment horizontal="center" vertical="center" wrapText="1"/>
    </xf>
    <xf numFmtId="0" fontId="13" fillId="9" borderId="30" xfId="0" applyFont="1" applyFill="1" applyBorder="1" applyAlignment="1">
      <alignment horizontal="center" vertical="center" wrapText="1"/>
    </xf>
    <xf numFmtId="0" fontId="13" fillId="9" borderId="31" xfId="0" applyFont="1" applyFill="1" applyBorder="1" applyAlignment="1">
      <alignment horizontal="center" vertical="center" wrapText="1"/>
    </xf>
    <xf numFmtId="3" fontId="2" fillId="0" borderId="33" xfId="0" applyNumberFormat="1" applyFont="1" applyBorder="1"/>
    <xf numFmtId="3" fontId="2" fillId="0" borderId="33" xfId="0" applyNumberFormat="1" applyFont="1" applyBorder="1" applyProtection="1">
      <protection locked="0"/>
    </xf>
    <xf numFmtId="3" fontId="2" fillId="0" borderId="34" xfId="0" applyNumberFormat="1" applyFont="1" applyBorder="1"/>
    <xf numFmtId="0" fontId="2" fillId="0" borderId="33" xfId="0" applyFont="1" applyBorder="1" applyProtection="1">
      <protection locked="0"/>
    </xf>
    <xf numFmtId="164" fontId="2" fillId="0" borderId="21" xfId="0" applyNumberFormat="1" applyFont="1" applyBorder="1"/>
    <xf numFmtId="0" fontId="9" fillId="4" borderId="0" xfId="0" applyFont="1" applyFill="1" applyAlignment="1">
      <alignment horizontal="center"/>
    </xf>
    <xf numFmtId="0" fontId="19" fillId="0" borderId="0" xfId="0" applyFont="1" applyAlignment="1">
      <alignment wrapText="1"/>
    </xf>
    <xf numFmtId="0" fontId="19" fillId="0" borderId="0" xfId="0" applyFont="1"/>
    <xf numFmtId="3" fontId="2" fillId="0" borderId="0" xfId="0" applyNumberFormat="1" applyFont="1"/>
    <xf numFmtId="0" fontId="20" fillId="0" borderId="0" xfId="0" applyFont="1" applyAlignment="1">
      <alignment horizontal="center" vertical="center" wrapText="1"/>
    </xf>
    <xf numFmtId="3" fontId="13" fillId="5" borderId="19" xfId="0" applyNumberFormat="1" applyFont="1" applyFill="1" applyBorder="1"/>
    <xf numFmtId="0" fontId="9" fillId="4" borderId="0" xfId="0" applyFont="1" applyFill="1" applyAlignment="1">
      <alignment horizontal="left"/>
    </xf>
    <xf numFmtId="0" fontId="8" fillId="0" borderId="2" xfId="0" applyFont="1" applyBorder="1" applyAlignment="1" applyProtection="1">
      <alignment wrapText="1"/>
      <protection locked="0"/>
    </xf>
    <xf numFmtId="3" fontId="7" fillId="0" borderId="44" xfId="0" applyNumberFormat="1" applyFont="1" applyBorder="1" applyProtection="1">
      <protection locked="0"/>
    </xf>
    <xf numFmtId="3" fontId="7" fillId="0" borderId="6" xfId="0" applyNumberFormat="1" applyFont="1" applyBorder="1" applyProtection="1">
      <protection locked="0"/>
    </xf>
    <xf numFmtId="49" fontId="8" fillId="0" borderId="2" xfId="0" applyNumberFormat="1" applyFont="1" applyBorder="1" applyAlignment="1" applyProtection="1">
      <alignment wrapText="1"/>
      <protection locked="0"/>
    </xf>
    <xf numFmtId="49" fontId="7" fillId="0" borderId="5" xfId="0" applyNumberFormat="1" applyFont="1" applyBorder="1" applyProtection="1">
      <protection locked="0"/>
    </xf>
    <xf numFmtId="49" fontId="7" fillId="0" borderId="0" xfId="0" applyNumberFormat="1" applyFont="1"/>
    <xf numFmtId="3" fontId="9" fillId="0" borderId="0" xfId="0" applyNumberFormat="1" applyFont="1"/>
    <xf numFmtId="0" fontId="20" fillId="0" borderId="0" xfId="0" applyFont="1" applyAlignment="1">
      <alignment wrapText="1"/>
    </xf>
    <xf numFmtId="0" fontId="20" fillId="0" borderId="0" xfId="0" applyFont="1"/>
    <xf numFmtId="10" fontId="9" fillId="0" borderId="46" xfId="1" applyNumberFormat="1" applyFont="1" applyBorder="1"/>
    <xf numFmtId="49" fontId="8" fillId="0" borderId="7" xfId="0" applyNumberFormat="1" applyFont="1" applyBorder="1"/>
    <xf numFmtId="3" fontId="8" fillId="0" borderId="45" xfId="0" applyNumberFormat="1" applyFont="1" applyBorder="1"/>
    <xf numFmtId="0" fontId="5" fillId="0" borderId="0" xfId="0" applyFont="1" applyAlignment="1">
      <alignment horizontal="left" wrapText="1"/>
    </xf>
    <xf numFmtId="3" fontId="7" fillId="0" borderId="0" xfId="0" applyNumberFormat="1" applyFont="1"/>
    <xf numFmtId="10" fontId="7" fillId="0" borderId="5" xfId="1" applyNumberFormat="1" applyFont="1" applyBorder="1" applyProtection="1">
      <protection locked="0"/>
    </xf>
    <xf numFmtId="10" fontId="7" fillId="0" borderId="5" xfId="0" applyNumberFormat="1" applyFont="1" applyBorder="1" applyProtection="1">
      <protection locked="0"/>
    </xf>
    <xf numFmtId="0" fontId="23" fillId="0" borderId="39" xfId="0" applyFont="1" applyBorder="1"/>
    <xf numFmtId="0" fontId="24" fillId="0" borderId="40" xfId="0" applyFont="1" applyBorder="1"/>
    <xf numFmtId="3" fontId="23" fillId="2" borderId="40" xfId="0" applyNumberFormat="1" applyFont="1" applyFill="1" applyBorder="1"/>
    <xf numFmtId="10" fontId="23" fillId="15" borderId="40" xfId="1" applyNumberFormat="1" applyFont="1" applyFill="1" applyBorder="1"/>
    <xf numFmtId="15" fontId="23" fillId="12" borderId="40" xfId="0" applyNumberFormat="1" applyFont="1" applyFill="1" applyBorder="1"/>
    <xf numFmtId="3" fontId="9" fillId="6" borderId="0" xfId="0" applyNumberFormat="1" applyFont="1" applyFill="1"/>
    <xf numFmtId="3" fontId="9" fillId="0" borderId="40" xfId="0" applyNumberFormat="1" applyFont="1" applyBorder="1"/>
    <xf numFmtId="41" fontId="0" fillId="0" borderId="0" xfId="2" applyFont="1"/>
    <xf numFmtId="41" fontId="7" fillId="0" borderId="5" xfId="2" applyFont="1" applyBorder="1" applyProtection="1">
      <protection locked="0"/>
    </xf>
    <xf numFmtId="3" fontId="5" fillId="0" borderId="0" xfId="0" applyNumberFormat="1" applyFont="1" applyAlignment="1">
      <alignment horizontal="left" wrapText="1"/>
    </xf>
    <xf numFmtId="3" fontId="0" fillId="0" borderId="0" xfId="0" applyNumberFormat="1"/>
    <xf numFmtId="41" fontId="7" fillId="0" borderId="0" xfId="2" applyFont="1"/>
    <xf numFmtId="0" fontId="28" fillId="0" borderId="50" xfId="0" applyFont="1" applyBorder="1" applyProtection="1">
      <protection locked="0"/>
    </xf>
    <xf numFmtId="0" fontId="28" fillId="0" borderId="0" xfId="0" applyFont="1"/>
    <xf numFmtId="0" fontId="28" fillId="0" borderId="0" xfId="0" applyFont="1" applyAlignment="1">
      <alignment wrapText="1"/>
    </xf>
    <xf numFmtId="0" fontId="27" fillId="0" borderId="0" xfId="0" applyFont="1"/>
    <xf numFmtId="41" fontId="28" fillId="0" borderId="0" xfId="2" applyFont="1"/>
    <xf numFmtId="41" fontId="27" fillId="10" borderId="0" xfId="2" applyFont="1" applyFill="1" applyAlignment="1">
      <alignment wrapText="1"/>
    </xf>
    <xf numFmtId="41" fontId="27" fillId="19" borderId="0" xfId="2" applyFont="1" applyFill="1" applyAlignment="1">
      <alignment wrapText="1"/>
    </xf>
    <xf numFmtId="0" fontId="27" fillId="20" borderId="0" xfId="0" applyFont="1" applyFill="1" applyAlignment="1">
      <alignment wrapText="1"/>
    </xf>
    <xf numFmtId="0" fontId="27" fillId="2" borderId="48" xfId="0" applyFont="1" applyFill="1" applyBorder="1" applyAlignment="1">
      <alignment horizontal="center" vertical="center" wrapText="1"/>
    </xf>
    <xf numFmtId="0" fontId="27" fillId="16" borderId="48" xfId="0" applyFont="1" applyFill="1" applyBorder="1" applyAlignment="1">
      <alignment horizontal="center" vertical="center" wrapText="1"/>
    </xf>
    <xf numFmtId="0" fontId="27" fillId="18" borderId="49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3" fontId="28" fillId="0" borderId="51" xfId="0" applyNumberFormat="1" applyFont="1" applyBorder="1" applyAlignment="1" applyProtection="1">
      <alignment vertical="center"/>
      <protection locked="0"/>
    </xf>
    <xf numFmtId="3" fontId="27" fillId="2" borderId="51" xfId="0" applyNumberFormat="1" applyFont="1" applyFill="1" applyBorder="1" applyAlignment="1">
      <alignment vertical="center"/>
    </xf>
    <xf numFmtId="3" fontId="27" fillId="16" borderId="51" xfId="0" applyNumberFormat="1" applyFont="1" applyFill="1" applyBorder="1" applyAlignment="1">
      <alignment vertical="center"/>
    </xf>
    <xf numFmtId="165" fontId="27" fillId="18" borderId="52" xfId="1" applyNumberFormat="1" applyFont="1" applyFill="1" applyBorder="1" applyAlignment="1">
      <alignment vertical="center"/>
    </xf>
    <xf numFmtId="3" fontId="27" fillId="0" borderId="54" xfId="0" applyNumberFormat="1" applyFont="1" applyBorder="1" applyAlignment="1">
      <alignment vertical="center"/>
    </xf>
    <xf numFmtId="165" fontId="27" fillId="18" borderId="55" xfId="1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41" fontId="27" fillId="10" borderId="0" xfId="2" applyFont="1" applyFill="1" applyAlignment="1">
      <alignment vertical="center"/>
    </xf>
    <xf numFmtId="41" fontId="27" fillId="19" borderId="0" xfId="2" applyFont="1" applyFill="1" applyAlignment="1">
      <alignment vertical="center"/>
    </xf>
    <xf numFmtId="41" fontId="27" fillId="20" borderId="0" xfId="0" applyNumberFormat="1" applyFont="1" applyFill="1" applyAlignment="1">
      <alignment vertical="center"/>
    </xf>
    <xf numFmtId="0" fontId="27" fillId="20" borderId="0" xfId="0" applyFont="1" applyFill="1" applyAlignment="1">
      <alignment vertical="center"/>
    </xf>
    <xf numFmtId="3" fontId="28" fillId="0" borderId="0" xfId="0" applyNumberFormat="1" applyFont="1" applyAlignment="1">
      <alignment vertical="center"/>
    </xf>
    <xf numFmtId="0" fontId="27" fillId="3" borderId="47" xfId="0" applyFont="1" applyFill="1" applyBorder="1" applyAlignment="1" applyProtection="1">
      <alignment horizontal="center" vertical="center" wrapText="1"/>
      <protection locked="0"/>
    </xf>
    <xf numFmtId="0" fontId="27" fillId="3" borderId="48" xfId="0" applyFont="1" applyFill="1" applyBorder="1" applyAlignment="1" applyProtection="1">
      <alignment horizontal="center" vertical="center" wrapText="1"/>
      <protection locked="0"/>
    </xf>
    <xf numFmtId="17" fontId="27" fillId="3" borderId="48" xfId="0" applyNumberFormat="1" applyFont="1" applyFill="1" applyBorder="1" applyAlignment="1" applyProtection="1">
      <alignment horizontal="center" vertical="center" wrapText="1"/>
      <protection locked="0"/>
    </xf>
    <xf numFmtId="0" fontId="29" fillId="0" borderId="0" xfId="0" applyFont="1"/>
    <xf numFmtId="0" fontId="30" fillId="0" borderId="0" xfId="0" applyFont="1"/>
    <xf numFmtId="3" fontId="29" fillId="5" borderId="0" xfId="0" applyNumberFormat="1" applyFont="1" applyFill="1"/>
    <xf numFmtId="0" fontId="31" fillId="11" borderId="56" xfId="0" applyFont="1" applyFill="1" applyBorder="1" applyAlignment="1">
      <alignment horizontal="center" vertical="center" wrapText="1"/>
    </xf>
    <xf numFmtId="165" fontId="32" fillId="11" borderId="57" xfId="1" applyNumberFormat="1" applyFont="1" applyFill="1" applyBorder="1" applyAlignment="1">
      <alignment vertical="center"/>
    </xf>
    <xf numFmtId="0" fontId="33" fillId="0" borderId="0" xfId="0" applyFont="1" applyAlignment="1">
      <alignment vertical="center"/>
    </xf>
    <xf numFmtId="41" fontId="33" fillId="0" borderId="0" xfId="2" applyFont="1" applyAlignment="1">
      <alignment vertical="center"/>
    </xf>
    <xf numFmtId="0" fontId="34" fillId="0" borderId="0" xfId="0" applyFont="1"/>
    <xf numFmtId="0" fontId="33" fillId="0" borderId="0" xfId="0" applyFont="1"/>
    <xf numFmtId="0" fontId="35" fillId="6" borderId="56" xfId="0" applyFont="1" applyFill="1" applyBorder="1" applyAlignment="1">
      <alignment horizontal="center" vertical="center" wrapText="1"/>
    </xf>
    <xf numFmtId="41" fontId="35" fillId="6" borderId="57" xfId="2" applyFont="1" applyFill="1" applyBorder="1"/>
    <xf numFmtId="0" fontId="27" fillId="0" borderId="0" xfId="0" applyFont="1" applyAlignment="1">
      <alignment vertical="center" wrapText="1"/>
    </xf>
    <xf numFmtId="41" fontId="27" fillId="0" borderId="0" xfId="0" applyNumberFormat="1" applyFont="1" applyAlignment="1">
      <alignment vertical="center"/>
    </xf>
    <xf numFmtId="0" fontId="3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9" fontId="28" fillId="0" borderId="0" xfId="0" applyNumberFormat="1" applyFont="1" applyAlignment="1">
      <alignment wrapText="1"/>
    </xf>
    <xf numFmtId="9" fontId="32" fillId="11" borderId="57" xfId="1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41" fontId="7" fillId="0" borderId="0" xfId="2" applyFont="1" applyAlignment="1"/>
    <xf numFmtId="41" fontId="38" fillId="21" borderId="0" xfId="0" applyNumberFormat="1" applyFont="1" applyFill="1"/>
    <xf numFmtId="3" fontId="39" fillId="21" borderId="0" xfId="0" applyNumberFormat="1" applyFont="1" applyFill="1" applyAlignment="1">
      <alignment vertical="center"/>
    </xf>
    <xf numFmtId="3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right" wrapText="1"/>
    </xf>
    <xf numFmtId="0" fontId="36" fillId="17" borderId="48" xfId="0" applyFont="1" applyFill="1" applyBorder="1" applyAlignment="1">
      <alignment horizontal="center" vertical="center" wrapText="1"/>
    </xf>
    <xf numFmtId="0" fontId="36" fillId="17" borderId="58" xfId="0" applyFont="1" applyFill="1" applyBorder="1" applyAlignment="1">
      <alignment horizontal="center" vertical="center" wrapText="1"/>
    </xf>
    <xf numFmtId="3" fontId="36" fillId="17" borderId="51" xfId="0" applyNumberFormat="1" applyFont="1" applyFill="1" applyBorder="1" applyAlignment="1">
      <alignment vertical="center"/>
    </xf>
    <xf numFmtId="3" fontId="36" fillId="17" borderId="59" xfId="0" applyNumberFormat="1" applyFont="1" applyFill="1" applyBorder="1" applyAlignment="1">
      <alignment vertical="center"/>
    </xf>
    <xf numFmtId="3" fontId="29" fillId="5" borderId="0" xfId="0" applyNumberFormat="1" applyFont="1" applyFill="1" applyAlignment="1">
      <alignment horizontal="center" vertical="center"/>
    </xf>
    <xf numFmtId="3" fontId="28" fillId="0" borderId="51" xfId="0" applyNumberFormat="1" applyFont="1" applyBorder="1" applyAlignment="1" applyProtection="1">
      <alignment wrapText="1"/>
      <protection locked="0"/>
    </xf>
    <xf numFmtId="41" fontId="7" fillId="0" borderId="5" xfId="2" applyFont="1" applyBorder="1" applyAlignment="1" applyProtection="1">
      <alignment wrapText="1"/>
      <protection locked="0"/>
    </xf>
    <xf numFmtId="0" fontId="40" fillId="0" borderId="0" xfId="0" applyFont="1"/>
    <xf numFmtId="0" fontId="41" fillId="0" borderId="0" xfId="0" applyFont="1"/>
    <xf numFmtId="3" fontId="23" fillId="3" borderId="40" xfId="0" applyNumberFormat="1" applyFont="1" applyFill="1" applyBorder="1"/>
    <xf numFmtId="9" fontId="0" fillId="0" borderId="0" xfId="1" applyFont="1"/>
    <xf numFmtId="41" fontId="7" fillId="0" borderId="6" xfId="2" applyFont="1" applyBorder="1" applyProtection="1">
      <protection locked="0"/>
    </xf>
    <xf numFmtId="0" fontId="7" fillId="0" borderId="61" xfId="0" applyFont="1" applyBorder="1"/>
    <xf numFmtId="0" fontId="7" fillId="0" borderId="62" xfId="0" applyFont="1" applyBorder="1"/>
    <xf numFmtId="41" fontId="28" fillId="0" borderId="51" xfId="0" applyNumberFormat="1" applyFont="1" applyBorder="1" applyAlignment="1" applyProtection="1">
      <alignment wrapText="1"/>
      <protection locked="0"/>
    </xf>
    <xf numFmtId="3" fontId="36" fillId="17" borderId="63" xfId="0" applyNumberFormat="1" applyFont="1" applyFill="1" applyBorder="1" applyAlignment="1">
      <alignment vertical="center"/>
    </xf>
    <xf numFmtId="0" fontId="29" fillId="0" borderId="0" xfId="0" applyFont="1" applyAlignment="1">
      <alignment wrapText="1"/>
    </xf>
    <xf numFmtId="0" fontId="37" fillId="21" borderId="60" xfId="0" applyFont="1" applyFill="1" applyBorder="1" applyAlignment="1">
      <alignment vertical="center"/>
    </xf>
    <xf numFmtId="3" fontId="29" fillId="0" borderId="0" xfId="0" applyNumberFormat="1" applyFont="1" applyAlignment="1">
      <alignment vertical="center"/>
    </xf>
    <xf numFmtId="0" fontId="27" fillId="0" borderId="0" xfId="0" applyFont="1" applyAlignment="1">
      <alignment horizontal="center" vertical="center" wrapText="1"/>
    </xf>
    <xf numFmtId="0" fontId="27" fillId="22" borderId="47" xfId="0" applyFont="1" applyFill="1" applyBorder="1" applyAlignment="1">
      <alignment horizontal="center" vertical="center" wrapText="1"/>
    </xf>
    <xf numFmtId="0" fontId="27" fillId="22" borderId="48" xfId="0" applyFont="1" applyFill="1" applyBorder="1" applyAlignment="1">
      <alignment horizontal="center" vertical="center" wrapText="1"/>
    </xf>
    <xf numFmtId="0" fontId="27" fillId="22" borderId="58" xfId="0" applyFont="1" applyFill="1" applyBorder="1" applyAlignment="1">
      <alignment horizontal="center" vertical="center" wrapText="1"/>
    </xf>
    <xf numFmtId="0" fontId="27" fillId="22" borderId="49" xfId="0" applyFont="1" applyFill="1" applyBorder="1" applyAlignment="1">
      <alignment horizontal="center" vertical="center" wrapText="1"/>
    </xf>
    <xf numFmtId="0" fontId="27" fillId="22" borderId="56" xfId="0" applyFont="1" applyFill="1" applyBorder="1" applyAlignment="1">
      <alignment horizontal="center" vertical="center" wrapText="1"/>
    </xf>
    <xf numFmtId="0" fontId="28" fillId="0" borderId="50" xfId="0" applyFont="1" applyBorder="1"/>
    <xf numFmtId="0" fontId="28" fillId="0" borderId="50" xfId="0" applyFont="1" applyBorder="1" applyAlignment="1">
      <alignment wrapText="1"/>
    </xf>
    <xf numFmtId="3" fontId="27" fillId="0" borderId="51" xfId="0" applyNumberFormat="1" applyFont="1" applyBorder="1" applyAlignment="1">
      <alignment vertic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wrapText="1"/>
    </xf>
    <xf numFmtId="3" fontId="27" fillId="0" borderId="0" xfId="0" applyNumberFormat="1" applyFont="1" applyAlignment="1">
      <alignment vertical="center"/>
    </xf>
    <xf numFmtId="41" fontId="38" fillId="0" borderId="0" xfId="0" applyNumberFormat="1" applyFont="1"/>
    <xf numFmtId="41" fontId="27" fillId="16" borderId="0" xfId="2" applyFont="1" applyFill="1" applyAlignment="1" applyProtection="1">
      <alignment horizontal="center" vertical="center"/>
    </xf>
    <xf numFmtId="41" fontId="27" fillId="0" borderId="0" xfId="2" applyFont="1" applyFill="1" applyAlignment="1" applyProtection="1">
      <alignment vertical="center"/>
    </xf>
    <xf numFmtId="41" fontId="33" fillId="0" borderId="0" xfId="2" applyFont="1" applyAlignment="1" applyProtection="1">
      <alignment vertical="center"/>
    </xf>
    <xf numFmtId="41" fontId="7" fillId="0" borderId="0" xfId="2" applyFont="1" applyProtection="1"/>
    <xf numFmtId="41" fontId="27" fillId="6" borderId="0" xfId="2" applyFont="1" applyFill="1" applyAlignment="1" applyProtection="1">
      <alignment horizontal="center" vertical="center"/>
    </xf>
    <xf numFmtId="41" fontId="27" fillId="11" borderId="0" xfId="0" applyNumberFormat="1" applyFont="1" applyFill="1" applyAlignment="1">
      <alignment horizontal="center" vertical="center"/>
    </xf>
    <xf numFmtId="41" fontId="29" fillId="0" borderId="0" xfId="0" applyNumberFormat="1" applyFont="1" applyAlignment="1">
      <alignment horizontal="center" vertical="center"/>
    </xf>
    <xf numFmtId="3" fontId="27" fillId="26" borderId="51" xfId="0" applyNumberFormat="1" applyFont="1" applyFill="1" applyBorder="1" applyAlignment="1">
      <alignment vertical="center"/>
    </xf>
    <xf numFmtId="0" fontId="27" fillId="26" borderId="48" xfId="0" applyFont="1" applyFill="1" applyBorder="1" applyAlignment="1">
      <alignment horizontal="center" vertical="center" wrapText="1"/>
    </xf>
    <xf numFmtId="0" fontId="27" fillId="24" borderId="56" xfId="0" applyFont="1" applyFill="1" applyBorder="1" applyAlignment="1">
      <alignment horizontal="center" vertical="center" wrapText="1"/>
    </xf>
    <xf numFmtId="3" fontId="27" fillId="24" borderId="51" xfId="0" applyNumberFormat="1" applyFont="1" applyFill="1" applyBorder="1" applyAlignment="1">
      <alignment vertical="center"/>
    </xf>
    <xf numFmtId="3" fontId="27" fillId="23" borderId="51" xfId="0" applyNumberFormat="1" applyFont="1" applyFill="1" applyBorder="1" applyAlignment="1">
      <alignment vertical="center"/>
    </xf>
    <xf numFmtId="41" fontId="7" fillId="5" borderId="64" xfId="2" applyFont="1" applyFill="1" applyBorder="1"/>
    <xf numFmtId="41" fontId="7" fillId="5" borderId="65" xfId="2" applyFont="1" applyFill="1" applyBorder="1"/>
    <xf numFmtId="41" fontId="7" fillId="5" borderId="66" xfId="2" applyFont="1" applyFill="1" applyBorder="1"/>
    <xf numFmtId="0" fontId="13" fillId="6" borderId="19" xfId="0" applyFont="1" applyFill="1" applyBorder="1" applyAlignment="1">
      <alignment horizontal="center"/>
    </xf>
    <xf numFmtId="9" fontId="27" fillId="0" borderId="51" xfId="1" applyFont="1" applyFill="1" applyBorder="1" applyAlignment="1" applyProtection="1">
      <alignment vertical="center"/>
    </xf>
    <xf numFmtId="9" fontId="27" fillId="23" borderId="51" xfId="1" applyFont="1" applyFill="1" applyBorder="1" applyAlignment="1" applyProtection="1">
      <alignment vertical="center"/>
    </xf>
    <xf numFmtId="3" fontId="43" fillId="6" borderId="0" xfId="0" applyNumberFormat="1" applyFont="1" applyFill="1"/>
    <xf numFmtId="10" fontId="2" fillId="0" borderId="0" xfId="1" applyNumberFormat="1" applyFont="1"/>
    <xf numFmtId="10" fontId="9" fillId="0" borderId="0" xfId="1" applyNumberFormat="1" applyFont="1"/>
    <xf numFmtId="10" fontId="23" fillId="0" borderId="40" xfId="1" applyNumberFormat="1" applyFont="1" applyBorder="1"/>
    <xf numFmtId="10" fontId="5" fillId="0" borderId="0" xfId="0" applyNumberFormat="1" applyFont="1" applyAlignment="1">
      <alignment horizontal="left" wrapText="1"/>
    </xf>
    <xf numFmtId="165" fontId="13" fillId="5" borderId="19" xfId="0" applyNumberFormat="1" applyFont="1" applyFill="1" applyBorder="1" applyAlignment="1">
      <alignment horizontal="center"/>
    </xf>
    <xf numFmtId="0" fontId="45" fillId="0" borderId="0" xfId="0" applyFont="1"/>
    <xf numFmtId="0" fontId="44" fillId="0" borderId="0" xfId="0" applyFont="1" applyAlignment="1">
      <alignment horizontal="right" wrapText="1"/>
    </xf>
    <xf numFmtId="0" fontId="45" fillId="0" borderId="0" xfId="0" applyFont="1" applyAlignment="1">
      <alignment wrapText="1"/>
    </xf>
    <xf numFmtId="0" fontId="44" fillId="0" borderId="0" xfId="0" applyFont="1"/>
    <xf numFmtId="10" fontId="27" fillId="0" borderId="0" xfId="1" applyNumberFormat="1" applyFont="1" applyAlignment="1" applyProtection="1">
      <alignment horizontal="center" vertical="center"/>
    </xf>
    <xf numFmtId="0" fontId="7" fillId="0" borderId="67" xfId="0" applyFont="1" applyBorder="1" applyProtection="1">
      <protection locked="0"/>
    </xf>
    <xf numFmtId="3" fontId="7" fillId="0" borderId="68" xfId="0" applyNumberFormat="1" applyFont="1" applyBorder="1" applyProtection="1">
      <protection locked="0"/>
    </xf>
    <xf numFmtId="10" fontId="7" fillId="0" borderId="68" xfId="0" applyNumberFormat="1" applyFont="1" applyBorder="1" applyProtection="1">
      <protection locked="0"/>
    </xf>
    <xf numFmtId="3" fontId="7" fillId="0" borderId="69" xfId="0" applyNumberFormat="1" applyFont="1" applyBorder="1" applyProtection="1">
      <protection locked="0"/>
    </xf>
    <xf numFmtId="0" fontId="20" fillId="0" borderId="37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3" fontId="20" fillId="10" borderId="37" xfId="0" applyNumberFormat="1" applyFont="1" applyFill="1" applyBorder="1" applyAlignment="1">
      <alignment horizontal="center" vertical="center" wrapText="1"/>
    </xf>
    <xf numFmtId="10" fontId="20" fillId="0" borderId="37" xfId="1" applyNumberFormat="1" applyFont="1" applyBorder="1" applyAlignment="1">
      <alignment horizontal="center" vertical="center" wrapText="1"/>
    </xf>
    <xf numFmtId="3" fontId="20" fillId="11" borderId="37" xfId="0" applyNumberFormat="1" applyFont="1" applyFill="1" applyBorder="1" applyAlignment="1">
      <alignment horizontal="center" vertical="center" wrapText="1"/>
    </xf>
    <xf numFmtId="0" fontId="20" fillId="2" borderId="37" xfId="0" applyFont="1" applyFill="1" applyBorder="1" applyAlignment="1">
      <alignment horizontal="center" vertical="center" wrapText="1"/>
    </xf>
    <xf numFmtId="3" fontId="20" fillId="0" borderId="37" xfId="0" applyNumberFormat="1" applyFont="1" applyBorder="1" applyAlignment="1">
      <alignment horizontal="center" vertical="center" wrapText="1"/>
    </xf>
    <xf numFmtId="3" fontId="20" fillId="15" borderId="37" xfId="0" applyNumberFormat="1" applyFont="1" applyFill="1" applyBorder="1" applyAlignment="1">
      <alignment horizontal="center" vertical="center" wrapText="1"/>
    </xf>
    <xf numFmtId="3" fontId="20" fillId="3" borderId="37" xfId="0" applyNumberFormat="1" applyFont="1" applyFill="1" applyBorder="1" applyAlignment="1">
      <alignment horizontal="center" vertical="center" wrapText="1"/>
    </xf>
    <xf numFmtId="0" fontId="20" fillId="12" borderId="37" xfId="0" applyFont="1" applyFill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41" fontId="7" fillId="0" borderId="61" xfId="2" applyFont="1" applyBorder="1"/>
    <xf numFmtId="41" fontId="7" fillId="0" borderId="62" xfId="2" applyFont="1" applyBorder="1"/>
    <xf numFmtId="41" fontId="8" fillId="0" borderId="45" xfId="2" applyFont="1" applyBorder="1"/>
    <xf numFmtId="41" fontId="7" fillId="0" borderId="0" xfId="0" applyNumberFormat="1" applyFont="1"/>
    <xf numFmtId="0" fontId="7" fillId="0" borderId="70" xfId="0" applyFont="1" applyBorder="1" applyProtection="1">
      <protection locked="0"/>
    </xf>
    <xf numFmtId="41" fontId="7" fillId="0" borderId="68" xfId="2" applyFont="1" applyBorder="1" applyProtection="1">
      <protection locked="0"/>
    </xf>
    <xf numFmtId="41" fontId="7" fillId="0" borderId="69" xfId="2" applyFont="1" applyBorder="1" applyProtection="1">
      <protection locked="0"/>
    </xf>
    <xf numFmtId="41" fontId="8" fillId="0" borderId="2" xfId="2" applyFont="1" applyBorder="1" applyAlignment="1" applyProtection="1">
      <alignment wrapText="1"/>
      <protection locked="0"/>
    </xf>
    <xf numFmtId="0" fontId="47" fillId="0" borderId="10" xfId="0" applyFont="1" applyBorder="1" applyAlignment="1">
      <alignment horizontal="center"/>
    </xf>
    <xf numFmtId="0" fontId="47" fillId="0" borderId="11" xfId="0" applyFont="1" applyBorder="1" applyAlignment="1">
      <alignment horizontal="center"/>
    </xf>
    <xf numFmtId="0" fontId="47" fillId="0" borderId="12" xfId="0" applyFont="1" applyBorder="1" applyAlignment="1">
      <alignment horizontal="center"/>
    </xf>
    <xf numFmtId="0" fontId="48" fillId="0" borderId="13" xfId="0" applyFont="1" applyBorder="1"/>
    <xf numFmtId="0" fontId="48" fillId="0" borderId="14" xfId="0" applyFont="1" applyBorder="1"/>
    <xf numFmtId="3" fontId="48" fillId="0" borderId="15" xfId="0" applyNumberFormat="1" applyFont="1" applyBorder="1"/>
    <xf numFmtId="3" fontId="47" fillId="0" borderId="18" xfId="0" applyNumberFormat="1" applyFont="1" applyBorder="1"/>
    <xf numFmtId="0" fontId="48" fillId="0" borderId="0" xfId="0" applyFont="1"/>
    <xf numFmtId="0" fontId="19" fillId="0" borderId="0" xfId="0" applyFont="1" applyAlignment="1">
      <alignment vertical="center"/>
    </xf>
    <xf numFmtId="0" fontId="0" fillId="0" borderId="0" xfId="0" applyAlignment="1">
      <alignment vertical="center"/>
    </xf>
    <xf numFmtId="3" fontId="49" fillId="4" borderId="40" xfId="0" applyNumberFormat="1" applyFont="1" applyFill="1" applyBorder="1" applyAlignment="1">
      <alignment vertical="center"/>
    </xf>
    <xf numFmtId="0" fontId="9" fillId="4" borderId="39" xfId="0" applyFont="1" applyFill="1" applyBorder="1" applyAlignment="1">
      <alignment vertical="center"/>
    </xf>
    <xf numFmtId="3" fontId="9" fillId="4" borderId="40" xfId="0" applyNumberFormat="1" applyFont="1" applyFill="1" applyBorder="1" applyAlignment="1">
      <alignment vertical="center"/>
    </xf>
    <xf numFmtId="3" fontId="2" fillId="4" borderId="40" xfId="0" applyNumberFormat="1" applyFont="1" applyFill="1" applyBorder="1" applyAlignment="1">
      <alignment vertical="center"/>
    </xf>
    <xf numFmtId="10" fontId="9" fillId="4" borderId="40" xfId="1" applyNumberFormat="1" applyFont="1" applyFill="1" applyBorder="1" applyAlignment="1">
      <alignment vertical="center"/>
    </xf>
    <xf numFmtId="0" fontId="9" fillId="4" borderId="39" xfId="0" applyFont="1" applyFill="1" applyBorder="1"/>
    <xf numFmtId="3" fontId="9" fillId="4" borderId="40" xfId="0" applyNumberFormat="1" applyFont="1" applyFill="1" applyBorder="1"/>
    <xf numFmtId="3" fontId="2" fillId="4" borderId="40" xfId="0" applyNumberFormat="1" applyFont="1" applyFill="1" applyBorder="1"/>
    <xf numFmtId="10" fontId="9" fillId="4" borderId="40" xfId="1" applyNumberFormat="1" applyFont="1" applyFill="1" applyBorder="1"/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42" fillId="0" borderId="0" xfId="0" applyFont="1" applyAlignment="1">
      <alignment horizontal="right" vertical="center"/>
    </xf>
    <xf numFmtId="0" fontId="27" fillId="0" borderId="53" xfId="0" applyFont="1" applyBorder="1" applyAlignment="1">
      <alignment horizontal="center"/>
    </xf>
    <xf numFmtId="0" fontId="27" fillId="0" borderId="54" xfId="0" applyFont="1" applyBorder="1" applyAlignment="1">
      <alignment horizontal="center"/>
    </xf>
    <xf numFmtId="0" fontId="37" fillId="21" borderId="0" xfId="0" applyFont="1" applyFill="1" applyAlignment="1">
      <alignment horizontal="center" vertical="center"/>
    </xf>
    <xf numFmtId="0" fontId="47" fillId="0" borderId="16" xfId="0" applyFont="1" applyBorder="1" applyAlignment="1">
      <alignment horizontal="center"/>
    </xf>
    <xf numFmtId="0" fontId="47" fillId="0" borderId="17" xfId="0" applyFont="1" applyBorder="1" applyAlignment="1">
      <alignment horizontal="center"/>
    </xf>
    <xf numFmtId="0" fontId="19" fillId="4" borderId="41" xfId="0" applyFont="1" applyFill="1" applyBorder="1" applyAlignment="1">
      <alignment horizontal="center" wrapText="1"/>
    </xf>
    <xf numFmtId="0" fontId="19" fillId="4" borderId="42" xfId="0" applyFont="1" applyFill="1" applyBorder="1" applyAlignment="1">
      <alignment horizontal="center" wrapText="1"/>
    </xf>
    <xf numFmtId="0" fontId="19" fillId="4" borderId="43" xfId="0" applyFont="1" applyFill="1" applyBorder="1" applyAlignment="1">
      <alignment horizontal="center" wrapText="1"/>
    </xf>
    <xf numFmtId="0" fontId="5" fillId="6" borderId="0" xfId="0" applyFont="1" applyFill="1" applyAlignment="1">
      <alignment horizontal="left" wrapText="1"/>
    </xf>
    <xf numFmtId="0" fontId="26" fillId="0" borderId="0" xfId="0" applyFont="1" applyAlignment="1">
      <alignment horizontal="left" wrapText="1"/>
    </xf>
    <xf numFmtId="3" fontId="21" fillId="13" borderId="0" xfId="0" applyNumberFormat="1" applyFont="1" applyFill="1" applyAlignment="1">
      <alignment horizontal="center" vertical="center"/>
    </xf>
    <xf numFmtId="17" fontId="22" fillId="14" borderId="0" xfId="0" applyNumberFormat="1" applyFont="1" applyFill="1" applyAlignment="1">
      <alignment horizontal="center" wrapText="1"/>
    </xf>
    <xf numFmtId="0" fontId="20" fillId="0" borderId="37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5" fillId="0" borderId="41" xfId="0" applyFont="1" applyBorder="1" applyAlignment="1">
      <alignment horizontal="center" wrapText="1"/>
    </xf>
    <xf numFmtId="0" fontId="25" fillId="0" borderId="42" xfId="0" applyFont="1" applyBorder="1" applyAlignment="1">
      <alignment horizontal="center" wrapText="1"/>
    </xf>
    <xf numFmtId="0" fontId="25" fillId="0" borderId="43" xfId="0" applyFont="1" applyBorder="1" applyAlignment="1">
      <alignment horizontal="center" wrapText="1"/>
    </xf>
    <xf numFmtId="0" fontId="19" fillId="4" borderId="41" xfId="0" applyFont="1" applyFill="1" applyBorder="1" applyAlignment="1">
      <alignment horizontal="center" vertical="center" wrapText="1"/>
    </xf>
    <xf numFmtId="0" fontId="19" fillId="4" borderId="42" xfId="0" applyFont="1" applyFill="1" applyBorder="1" applyAlignment="1">
      <alignment horizontal="center" vertical="center" wrapText="1"/>
    </xf>
    <xf numFmtId="0" fontId="19" fillId="4" borderId="43" xfId="0" applyFont="1" applyFill="1" applyBorder="1" applyAlignment="1">
      <alignment horizontal="center" vertical="center" wrapText="1"/>
    </xf>
    <xf numFmtId="17" fontId="8" fillId="25" borderId="0" xfId="0" applyNumberFormat="1" applyFont="1" applyFill="1" applyAlignment="1">
      <alignment horizontal="center"/>
    </xf>
    <xf numFmtId="41" fontId="44" fillId="0" borderId="0" xfId="2" applyFont="1" applyFill="1" applyAlignment="1" applyProtection="1">
      <alignment horizontal="right" vertical="center" wrapText="1"/>
    </xf>
    <xf numFmtId="41" fontId="44" fillId="0" borderId="0" xfId="2" applyFont="1" applyFill="1" applyAlignment="1" applyProtection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27" fillId="23" borderId="53" xfId="0" applyFont="1" applyFill="1" applyBorder="1" applyAlignment="1">
      <alignment horizontal="center"/>
    </xf>
    <xf numFmtId="0" fontId="27" fillId="23" borderId="54" xfId="0" applyFont="1" applyFill="1" applyBorder="1" applyAlignment="1">
      <alignment horizontal="center"/>
    </xf>
    <xf numFmtId="0" fontId="37" fillId="0" borderId="0" xfId="0" applyFont="1" applyAlignment="1">
      <alignment horizontal="right" vertical="center"/>
    </xf>
    <xf numFmtId="0" fontId="37" fillId="0" borderId="0" xfId="0" applyFont="1" applyAlignment="1">
      <alignment horizontal="center" vertical="center"/>
    </xf>
    <xf numFmtId="3" fontId="29" fillId="6" borderId="0" xfId="0" applyNumberFormat="1" applyFont="1" applyFill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23" xfId="0" applyFont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13" fillId="6" borderId="20" xfId="0" applyFont="1" applyFill="1" applyBorder="1" applyAlignment="1" applyProtection="1">
      <alignment horizontal="center"/>
      <protection locked="0"/>
    </xf>
    <xf numFmtId="0" fontId="13" fillId="6" borderId="21" xfId="0" applyFont="1" applyFill="1" applyBorder="1" applyAlignment="1" applyProtection="1">
      <alignment horizontal="center"/>
      <protection locked="0"/>
    </xf>
    <xf numFmtId="0" fontId="13" fillId="6" borderId="22" xfId="0" applyFont="1" applyFill="1" applyBorder="1" applyAlignment="1" applyProtection="1">
      <alignment horizontal="center"/>
      <protection locked="0"/>
    </xf>
    <xf numFmtId="164" fontId="13" fillId="6" borderId="20" xfId="0" applyNumberFormat="1" applyFont="1" applyFill="1" applyBorder="1" applyAlignment="1" applyProtection="1">
      <alignment horizontal="center"/>
      <protection locked="0"/>
    </xf>
    <xf numFmtId="164" fontId="13" fillId="6" borderId="22" xfId="0" applyNumberFormat="1" applyFont="1" applyFill="1" applyBorder="1" applyAlignment="1" applyProtection="1">
      <alignment horizontal="center"/>
      <protection locked="0"/>
    </xf>
    <xf numFmtId="164" fontId="13" fillId="5" borderId="27" xfId="0" applyNumberFormat="1" applyFont="1" applyFill="1" applyBorder="1" applyAlignment="1">
      <alignment horizontal="center"/>
    </xf>
    <xf numFmtId="164" fontId="13" fillId="5" borderId="28" xfId="0" applyNumberFormat="1" applyFont="1" applyFill="1" applyBorder="1" applyAlignment="1">
      <alignment horizontal="center"/>
    </xf>
    <xf numFmtId="0" fontId="9" fillId="0" borderId="0" xfId="0" applyFont="1" applyAlignment="1">
      <alignment horizontal="right"/>
    </xf>
    <xf numFmtId="0" fontId="9" fillId="0" borderId="23" xfId="0" applyFont="1" applyBorder="1" applyAlignment="1">
      <alignment horizontal="right"/>
    </xf>
    <xf numFmtId="0" fontId="9" fillId="7" borderId="0" xfId="0" applyFont="1" applyFill="1" applyAlignment="1">
      <alignment horizontal="center" vertical="center" wrapText="1"/>
    </xf>
    <xf numFmtId="0" fontId="9" fillId="7" borderId="3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9" fillId="0" borderId="23" xfId="0" applyFont="1" applyBorder="1" applyAlignment="1">
      <alignment horizontal="right" vertical="center"/>
    </xf>
    <xf numFmtId="0" fontId="13" fillId="8" borderId="29" xfId="0" applyFont="1" applyFill="1" applyBorder="1" applyAlignment="1">
      <alignment horizontal="center" wrapText="1"/>
    </xf>
    <xf numFmtId="0" fontId="13" fillId="8" borderId="30" xfId="0" applyFont="1" applyFill="1" applyBorder="1" applyAlignment="1">
      <alignment horizontal="center" wrapText="1"/>
    </xf>
    <xf numFmtId="164" fontId="2" fillId="0" borderId="32" xfId="0" applyNumberFormat="1" applyFont="1" applyBorder="1"/>
    <xf numFmtId="164" fontId="2" fillId="0" borderId="33" xfId="0" applyNumberFormat="1" applyFont="1" applyBorder="1"/>
    <xf numFmtId="0" fontId="9" fillId="2" borderId="24" xfId="0" applyFont="1" applyFill="1" applyBorder="1" applyAlignment="1">
      <alignment horizontal="center" wrapText="1"/>
    </xf>
    <xf numFmtId="0" fontId="9" fillId="2" borderId="25" xfId="0" applyFont="1" applyFill="1" applyBorder="1" applyAlignment="1">
      <alignment horizontal="center" wrapText="1"/>
    </xf>
    <xf numFmtId="164" fontId="13" fillId="6" borderId="27" xfId="0" applyNumberFormat="1" applyFont="1" applyFill="1" applyBorder="1" applyAlignment="1">
      <alignment horizontal="center"/>
    </xf>
    <xf numFmtId="164" fontId="13" fillId="6" borderId="28" xfId="0" applyNumberFormat="1" applyFont="1" applyFill="1" applyBorder="1" applyAlignment="1">
      <alignment horizontal="center"/>
    </xf>
  </cellXfs>
  <cellStyles count="3">
    <cellStyle name="Milliers [0]" xfId="2" builtinId="6"/>
    <cellStyle name="Normal" xfId="0" builtinId="0"/>
    <cellStyle name="Pourcentage" xfId="1" builtinId="5"/>
  </cellStyles>
  <dxfs count="2"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23767\Desktop\LELE\microfinance%20camdvi\tresorerie.xlsx" TargetMode="External"/><Relationship Id="rId1" Type="http://schemas.openxmlformats.org/officeDocument/2006/relationships/externalLinkPath" Target="tresorer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esorerie"/>
      <sheetName val="epargne_mensuelle"/>
      <sheetName val="cumul_epargne"/>
      <sheetName val="recouvrement_dette"/>
      <sheetName val="recap_prêt"/>
      <sheetName val="Tableau_amortissement_Jackson"/>
      <sheetName val="Feuil1"/>
    </sheetNames>
    <sheetDataSet>
      <sheetData sheetId="0">
        <row r="8">
          <cell r="P8" t="str">
            <v>Epargne</v>
          </cell>
          <cell r="S8" t="str">
            <v>Prêt</v>
          </cell>
        </row>
        <row r="9">
          <cell r="P9" t="str">
            <v>recouvrement dette</v>
          </cell>
          <cell r="S9" t="str">
            <v>Autres</v>
          </cell>
        </row>
        <row r="10">
          <cell r="P10" t="str">
            <v>Transfert fond (ancienne trésorerie)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9EB2-CC4D-4C86-B964-3DAE102A0813}">
  <sheetPr codeName="Feuil1">
    <tabColor rgb="FF00B0F0"/>
  </sheetPr>
  <dimension ref="A1:X31"/>
  <sheetViews>
    <sheetView zoomScaleNormal="100" workbookViewId="0">
      <pane ySplit="1" topLeftCell="A19" activePane="bottomLeft" state="frozen"/>
      <selection activeCell="A11" sqref="A11:XFD11"/>
      <selection pane="bottomLeft" activeCell="A11" sqref="A11:XFD11"/>
    </sheetView>
  </sheetViews>
  <sheetFormatPr baseColWidth="10" defaultColWidth="11.453125" defaultRowHeight="17.5" x14ac:dyDescent="0.35"/>
  <cols>
    <col min="1" max="1" width="4.1796875" style="8" customWidth="1"/>
    <col min="2" max="2" width="34.81640625" style="8" customWidth="1"/>
    <col min="3" max="3" width="13.7265625" style="8" bestFit="1" customWidth="1"/>
    <col min="4" max="7" width="11.54296875" style="8" bestFit="1" customWidth="1"/>
    <col min="8" max="8" width="12" style="8" bestFit="1" customWidth="1"/>
    <col min="9" max="19" width="11.54296875" style="8" bestFit="1" customWidth="1"/>
    <col min="20" max="20" width="12" style="8" bestFit="1" customWidth="1"/>
    <col min="21" max="24" width="11.54296875" style="8" bestFit="1" customWidth="1"/>
    <col min="25" max="16384" width="11.453125" style="8"/>
  </cols>
  <sheetData>
    <row r="1" spans="1:24" s="7" customFormat="1" ht="18" x14ac:dyDescent="0.4">
      <c r="A1" s="19" t="s">
        <v>20</v>
      </c>
      <c r="B1" s="20" t="s">
        <v>21</v>
      </c>
      <c r="C1" s="21">
        <v>44470</v>
      </c>
      <c r="D1" s="21">
        <v>44501</v>
      </c>
      <c r="E1" s="21">
        <v>44531</v>
      </c>
      <c r="F1" s="21">
        <v>44562</v>
      </c>
      <c r="G1" s="21">
        <v>44593</v>
      </c>
      <c r="H1" s="21">
        <v>44621</v>
      </c>
      <c r="I1" s="21">
        <v>44652</v>
      </c>
      <c r="J1" s="21">
        <v>44682</v>
      </c>
      <c r="K1" s="21">
        <v>44713</v>
      </c>
      <c r="L1" s="21">
        <v>44743</v>
      </c>
      <c r="M1" s="21">
        <v>44774</v>
      </c>
      <c r="N1" s="21">
        <v>44805</v>
      </c>
      <c r="O1" s="21">
        <v>44835</v>
      </c>
      <c r="P1" s="21">
        <v>44866</v>
      </c>
      <c r="Q1" s="21">
        <v>44896</v>
      </c>
      <c r="R1" s="21">
        <v>44927</v>
      </c>
      <c r="S1" s="21">
        <v>44958</v>
      </c>
      <c r="T1" s="21">
        <v>44986</v>
      </c>
      <c r="U1" s="21">
        <v>45017</v>
      </c>
      <c r="V1" s="21">
        <v>45047</v>
      </c>
      <c r="W1" s="21">
        <v>45078</v>
      </c>
      <c r="X1" s="22">
        <v>45108</v>
      </c>
    </row>
    <row r="2" spans="1:24" x14ac:dyDescent="0.35">
      <c r="A2" s="9">
        <v>1</v>
      </c>
      <c r="B2" s="10" t="s">
        <v>0</v>
      </c>
      <c r="C2" s="11">
        <v>24286.428571428572</v>
      </c>
      <c r="D2" s="11"/>
      <c r="E2" s="11">
        <v>5714.2857142857138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55"/>
    </row>
    <row r="3" spans="1:24" x14ac:dyDescent="0.35">
      <c r="A3" s="9">
        <v>2</v>
      </c>
      <c r="B3" s="10" t="s">
        <v>1</v>
      </c>
      <c r="C3" s="11">
        <v>8095.4761904761908</v>
      </c>
      <c r="D3" s="11"/>
      <c r="E3" s="11">
        <v>1904.761904761905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55"/>
    </row>
    <row r="4" spans="1:24" x14ac:dyDescent="0.35">
      <c r="A4" s="9">
        <v>3</v>
      </c>
      <c r="B4" s="10" t="s">
        <v>2</v>
      </c>
      <c r="C4" s="11">
        <v>256191</v>
      </c>
      <c r="D4" s="11">
        <v>61667</v>
      </c>
      <c r="E4" s="11">
        <v>65476.523809523809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55"/>
    </row>
    <row r="5" spans="1:24" x14ac:dyDescent="0.35">
      <c r="A5" s="9">
        <v>4</v>
      </c>
      <c r="B5" s="10" t="s">
        <v>3</v>
      </c>
      <c r="C5" s="11">
        <v>0</v>
      </c>
      <c r="D5" s="11"/>
      <c r="E5" s="11">
        <v>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55"/>
    </row>
    <row r="6" spans="1:24" x14ac:dyDescent="0.35">
      <c r="A6" s="9">
        <v>5</v>
      </c>
      <c r="B6" s="10" t="s">
        <v>4</v>
      </c>
      <c r="C6" s="11">
        <v>56668.333333333336</v>
      </c>
      <c r="D6" s="11"/>
      <c r="E6" s="11">
        <v>13333.333333333334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55"/>
    </row>
    <row r="7" spans="1:24" x14ac:dyDescent="0.35">
      <c r="A7" s="9">
        <v>6</v>
      </c>
      <c r="B7" s="10" t="s">
        <v>5</v>
      </c>
      <c r="C7" s="11">
        <v>0</v>
      </c>
      <c r="D7" s="11">
        <v>125000</v>
      </c>
      <c r="E7" s="11">
        <v>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55"/>
    </row>
    <row r="8" spans="1:24" x14ac:dyDescent="0.35">
      <c r="A8" s="9">
        <v>7</v>
      </c>
      <c r="B8" s="10" t="s">
        <v>6</v>
      </c>
      <c r="C8" s="11">
        <v>16190.952380952382</v>
      </c>
      <c r="D8" s="11"/>
      <c r="E8" s="11">
        <v>3809.5238095238101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55"/>
    </row>
    <row r="9" spans="1:24" x14ac:dyDescent="0.35">
      <c r="A9" s="9">
        <v>8</v>
      </c>
      <c r="B9" s="10" t="s">
        <v>7</v>
      </c>
      <c r="C9" s="11">
        <v>8095.4761904761908</v>
      </c>
      <c r="D9" s="11"/>
      <c r="E9" s="11">
        <v>1904.761904761905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55"/>
    </row>
    <row r="10" spans="1:24" x14ac:dyDescent="0.35">
      <c r="A10" s="9">
        <v>9</v>
      </c>
      <c r="B10" s="10" t="s">
        <v>8</v>
      </c>
      <c r="C10" s="11">
        <v>32381.904761904763</v>
      </c>
      <c r="D10" s="11"/>
      <c r="E10" s="11">
        <v>7619.0476190476202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55"/>
    </row>
    <row r="11" spans="1:24" x14ac:dyDescent="0.35">
      <c r="A11" s="9">
        <v>10</v>
      </c>
      <c r="B11" s="10" t="s">
        <v>9</v>
      </c>
      <c r="C11" s="11">
        <v>72859.28571428571</v>
      </c>
      <c r="D11" s="11"/>
      <c r="E11" s="11">
        <v>17142.857142857141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55"/>
    </row>
    <row r="12" spans="1:24" x14ac:dyDescent="0.35">
      <c r="A12" s="9">
        <v>11</v>
      </c>
      <c r="B12" s="10" t="s">
        <v>10</v>
      </c>
      <c r="C12" s="11">
        <v>72859.28571428571</v>
      </c>
      <c r="D12" s="11"/>
      <c r="E12" s="11">
        <v>17142.857142857141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55"/>
    </row>
    <row r="13" spans="1:24" x14ac:dyDescent="0.35">
      <c r="A13" s="9">
        <v>12</v>
      </c>
      <c r="B13" s="10" t="s">
        <v>11</v>
      </c>
      <c r="C13" s="11">
        <v>72859.28571428571</v>
      </c>
      <c r="D13" s="11"/>
      <c r="E13" s="11">
        <v>17142.857142857141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55"/>
    </row>
    <row r="14" spans="1:24" x14ac:dyDescent="0.35">
      <c r="A14" s="9">
        <v>13</v>
      </c>
      <c r="B14" s="10" t="s">
        <v>12</v>
      </c>
      <c r="C14" s="11">
        <v>56668.333333333336</v>
      </c>
      <c r="D14" s="11">
        <v>70000</v>
      </c>
      <c r="E14" s="11">
        <v>13333.333333333334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55"/>
    </row>
    <row r="15" spans="1:24" x14ac:dyDescent="0.35">
      <c r="A15" s="9">
        <v>14</v>
      </c>
      <c r="B15" s="10" t="s">
        <v>13</v>
      </c>
      <c r="C15" s="11">
        <v>64763.809523809527</v>
      </c>
      <c r="D15" s="11"/>
      <c r="E15" s="11">
        <v>15238.09523809524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55"/>
    </row>
    <row r="16" spans="1:24" x14ac:dyDescent="0.35">
      <c r="A16" s="9">
        <v>15</v>
      </c>
      <c r="B16" s="10" t="s">
        <v>14</v>
      </c>
      <c r="C16" s="11">
        <v>72859.28571428571</v>
      </c>
      <c r="D16" s="11"/>
      <c r="E16" s="11">
        <v>17142.857142857141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55"/>
    </row>
    <row r="17" spans="1:24" x14ac:dyDescent="0.35">
      <c r="A17" s="9">
        <v>16</v>
      </c>
      <c r="B17" s="10" t="s">
        <v>15</v>
      </c>
      <c r="C17" s="11">
        <v>64763.809523809527</v>
      </c>
      <c r="D17" s="11"/>
      <c r="E17" s="11">
        <v>15238.09523809524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55"/>
    </row>
    <row r="18" spans="1:24" x14ac:dyDescent="0.35">
      <c r="A18" s="9">
        <v>17</v>
      </c>
      <c r="B18" s="10" t="s">
        <v>16</v>
      </c>
      <c r="C18" s="11">
        <v>72859.28571428571</v>
      </c>
      <c r="D18" s="11"/>
      <c r="E18" s="11">
        <v>17142.857142857141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55"/>
    </row>
    <row r="19" spans="1:24" x14ac:dyDescent="0.35">
      <c r="A19" s="9">
        <v>18</v>
      </c>
      <c r="B19" s="10" t="s">
        <v>17</v>
      </c>
      <c r="C19" s="11">
        <v>72859.28571428571</v>
      </c>
      <c r="D19" s="11"/>
      <c r="E19" s="11">
        <v>17142.857142857141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55"/>
    </row>
    <row r="20" spans="1:24" x14ac:dyDescent="0.35">
      <c r="A20" s="9">
        <v>19</v>
      </c>
      <c r="B20" s="10" t="s">
        <v>18</v>
      </c>
      <c r="C20" s="11">
        <v>64763.809523809527</v>
      </c>
      <c r="D20" s="11"/>
      <c r="E20" s="11">
        <v>15238.09523809524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55"/>
    </row>
    <row r="21" spans="1:24" x14ac:dyDescent="0.35">
      <c r="A21" s="9">
        <v>20</v>
      </c>
      <c r="B21" s="10" t="s">
        <v>19</v>
      </c>
      <c r="C21" s="11">
        <v>40000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55"/>
    </row>
    <row r="22" spans="1:24" x14ac:dyDescent="0.35">
      <c r="A22" s="9">
        <v>21</v>
      </c>
      <c r="B22" s="10" t="s">
        <v>25</v>
      </c>
      <c r="C22" s="11">
        <v>120000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55"/>
    </row>
    <row r="23" spans="1:24" x14ac:dyDescent="0.35">
      <c r="A23" s="9"/>
      <c r="B23" s="10"/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55"/>
    </row>
    <row r="24" spans="1:24" x14ac:dyDescent="0.35">
      <c r="A24" s="9"/>
      <c r="B24" s="10"/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55"/>
    </row>
    <row r="25" spans="1:24" x14ac:dyDescent="0.35">
      <c r="A25" s="9"/>
      <c r="B25" s="10"/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55"/>
    </row>
    <row r="26" spans="1:24" x14ac:dyDescent="0.35">
      <c r="A26" s="9"/>
      <c r="B26" s="10"/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55"/>
    </row>
    <row r="27" spans="1:24" x14ac:dyDescent="0.35">
      <c r="A27" s="9"/>
      <c r="B27" s="10"/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55"/>
    </row>
    <row r="28" spans="1:24" x14ac:dyDescent="0.35">
      <c r="A28" s="9"/>
      <c r="B28" s="10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55"/>
    </row>
    <row r="29" spans="1:24" x14ac:dyDescent="0.35">
      <c r="A29" s="9"/>
      <c r="B29" s="10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55"/>
    </row>
    <row r="30" spans="1:24" x14ac:dyDescent="0.35">
      <c r="A30" s="9"/>
      <c r="B30" s="10"/>
      <c r="C30" s="10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55"/>
    </row>
    <row r="31" spans="1:24" s="7" customFormat="1" ht="18.5" thickBot="1" x14ac:dyDescent="0.45">
      <c r="A31" s="235" t="s">
        <v>23</v>
      </c>
      <c r="B31" s="236"/>
      <c r="C31" s="12">
        <f t="shared" ref="C31:X31" si="0">SUM(C2:C30)</f>
        <v>1250025.0476190473</v>
      </c>
      <c r="D31" s="12">
        <f t="shared" si="0"/>
        <v>256667</v>
      </c>
      <c r="E31" s="12">
        <f t="shared" si="0"/>
        <v>261666.99999999994</v>
      </c>
      <c r="F31" s="12">
        <f t="shared" si="0"/>
        <v>0</v>
      </c>
      <c r="G31" s="12">
        <f t="shared" si="0"/>
        <v>0</v>
      </c>
      <c r="H31" s="12">
        <f t="shared" si="0"/>
        <v>0</v>
      </c>
      <c r="I31" s="12">
        <f t="shared" si="0"/>
        <v>0</v>
      </c>
      <c r="J31" s="12">
        <f t="shared" si="0"/>
        <v>0</v>
      </c>
      <c r="K31" s="12">
        <f t="shared" si="0"/>
        <v>0</v>
      </c>
      <c r="L31" s="12">
        <f t="shared" si="0"/>
        <v>0</v>
      </c>
      <c r="M31" s="12">
        <f t="shared" si="0"/>
        <v>0</v>
      </c>
      <c r="N31" s="12">
        <f t="shared" si="0"/>
        <v>0</v>
      </c>
      <c r="O31" s="12">
        <f t="shared" si="0"/>
        <v>0</v>
      </c>
      <c r="P31" s="12">
        <f t="shared" si="0"/>
        <v>0</v>
      </c>
      <c r="Q31" s="12">
        <f t="shared" si="0"/>
        <v>0</v>
      </c>
      <c r="R31" s="12">
        <f t="shared" si="0"/>
        <v>0</v>
      </c>
      <c r="S31" s="12">
        <f t="shared" si="0"/>
        <v>0</v>
      </c>
      <c r="T31" s="12">
        <f t="shared" si="0"/>
        <v>0</v>
      </c>
      <c r="U31" s="12">
        <f t="shared" si="0"/>
        <v>0</v>
      </c>
      <c r="V31" s="12">
        <f t="shared" si="0"/>
        <v>0</v>
      </c>
      <c r="W31" s="12">
        <f t="shared" si="0"/>
        <v>0</v>
      </c>
      <c r="X31" s="12">
        <f t="shared" si="0"/>
        <v>0</v>
      </c>
    </row>
  </sheetData>
  <sheetProtection algorithmName="SHA-512" hashValue="0lGzMQakqGr0PdB32G34M87igltQuzynrL82qUNQVRhuhKDLS+QBr9NrcLNsrCMoGwL2xgbzJKqhpX2NnCgYbg==" saltValue="UvaUaKR7YF0Ar2+ndjg45A==" spinCount="100000" sheet="1" objects="1" scenarios="1"/>
  <mergeCells count="1">
    <mergeCell ref="A31:B31"/>
  </mergeCells>
  <pageMargins left="0.7" right="0.7" top="0.75" bottom="0.75" header="0.3" footer="0.3"/>
  <pageSetup paperSize="9" scale="44" orientation="landscape" r:id="rId1"/>
  <headerFooter>
    <oddHeader>&amp;C&amp;"-,Gras"&amp;20ETAT DETAILLE DES EPARGNES DANS LA MICROFINANCE CAMDVI (Oct-2021-Juillet-2023)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9AEA-6ADF-4FEE-AB5A-A0A815FCCD96}">
  <sheetPr codeName="Feuil2">
    <tabColor rgb="FF00B0F0"/>
  </sheetPr>
  <dimension ref="A1:X31"/>
  <sheetViews>
    <sheetView zoomScaleNormal="100" workbookViewId="0">
      <pane ySplit="1" topLeftCell="A2" activePane="bottomLeft" state="frozen"/>
      <selection activeCell="A11" sqref="A11:XFD11"/>
      <selection pane="bottomLeft" activeCell="A11" sqref="A11:XFD11"/>
    </sheetView>
  </sheetViews>
  <sheetFormatPr baseColWidth="10" defaultColWidth="11.453125" defaultRowHeight="17.5" x14ac:dyDescent="0.35"/>
  <cols>
    <col min="1" max="1" width="4.1796875" style="8" customWidth="1"/>
    <col min="2" max="2" width="34.81640625" style="8" customWidth="1"/>
    <col min="3" max="3" width="13.7265625" style="8" bestFit="1" customWidth="1"/>
    <col min="4" max="7" width="11.54296875" style="8" bestFit="1" customWidth="1"/>
    <col min="8" max="8" width="12" style="8" bestFit="1" customWidth="1"/>
    <col min="9" max="19" width="11.54296875" style="8" bestFit="1" customWidth="1"/>
    <col min="20" max="20" width="12" style="8" bestFit="1" customWidth="1"/>
    <col min="21" max="24" width="11.54296875" style="8" bestFit="1" customWidth="1"/>
    <col min="25" max="16384" width="11.453125" style="8"/>
  </cols>
  <sheetData>
    <row r="1" spans="1:24" s="7" customFormat="1" ht="18" x14ac:dyDescent="0.4">
      <c r="A1" s="19" t="s">
        <v>20</v>
      </c>
      <c r="B1" s="20" t="s">
        <v>21</v>
      </c>
      <c r="C1" s="21">
        <v>44470</v>
      </c>
      <c r="D1" s="21">
        <v>44501</v>
      </c>
      <c r="E1" s="21">
        <v>44531</v>
      </c>
      <c r="F1" s="21">
        <v>44562</v>
      </c>
      <c r="G1" s="21">
        <v>44593</v>
      </c>
      <c r="H1" s="21">
        <v>44621</v>
      </c>
      <c r="I1" s="21">
        <v>44652</v>
      </c>
      <c r="J1" s="21">
        <v>44682</v>
      </c>
      <c r="K1" s="21">
        <v>44713</v>
      </c>
      <c r="L1" s="21">
        <v>44743</v>
      </c>
      <c r="M1" s="21">
        <v>44774</v>
      </c>
      <c r="N1" s="21">
        <v>44805</v>
      </c>
      <c r="O1" s="21">
        <v>44835</v>
      </c>
      <c r="P1" s="21">
        <v>44866</v>
      </c>
      <c r="Q1" s="21">
        <v>44896</v>
      </c>
      <c r="R1" s="21">
        <v>44927</v>
      </c>
      <c r="S1" s="21">
        <v>44958</v>
      </c>
      <c r="T1" s="21">
        <v>44986</v>
      </c>
      <c r="U1" s="21">
        <v>45017</v>
      </c>
      <c r="V1" s="21">
        <v>45047</v>
      </c>
      <c r="W1" s="21">
        <v>45078</v>
      </c>
      <c r="X1" s="22">
        <v>45108</v>
      </c>
    </row>
    <row r="2" spans="1:24" x14ac:dyDescent="0.35">
      <c r="A2" s="9">
        <v>1</v>
      </c>
      <c r="B2" s="10" t="s">
        <v>0</v>
      </c>
      <c r="C2" s="11">
        <v>24286.428571428572</v>
      </c>
      <c r="D2" s="11"/>
      <c r="E2" s="11">
        <v>5714.2857142857138</v>
      </c>
      <c r="F2" s="11">
        <v>13685.714285714284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55"/>
    </row>
    <row r="3" spans="1:24" x14ac:dyDescent="0.35">
      <c r="A3" s="9">
        <v>2</v>
      </c>
      <c r="B3" s="10" t="s">
        <v>1</v>
      </c>
      <c r="C3" s="11">
        <v>8095.4761904761908</v>
      </c>
      <c r="D3" s="11"/>
      <c r="E3" s="11">
        <v>1904.761904761905</v>
      </c>
      <c r="F3" s="11">
        <v>4561.9047619047624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55"/>
    </row>
    <row r="4" spans="1:24" x14ac:dyDescent="0.35">
      <c r="A4" s="9">
        <v>3</v>
      </c>
      <c r="B4" s="10" t="s">
        <v>2</v>
      </c>
      <c r="C4" s="11">
        <v>256191</v>
      </c>
      <c r="D4" s="11">
        <v>61667</v>
      </c>
      <c r="E4" s="11">
        <v>65476.523809523809</v>
      </c>
      <c r="F4" s="11">
        <v>69611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55"/>
    </row>
    <row r="5" spans="1:24" x14ac:dyDescent="0.35">
      <c r="A5" s="9">
        <v>4</v>
      </c>
      <c r="B5" s="10" t="s">
        <v>3</v>
      </c>
      <c r="C5" s="11">
        <v>0</v>
      </c>
      <c r="D5" s="11"/>
      <c r="E5" s="11">
        <v>0</v>
      </c>
      <c r="F5" s="11">
        <v>0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55"/>
    </row>
    <row r="6" spans="1:24" x14ac:dyDescent="0.35">
      <c r="A6" s="9">
        <v>5</v>
      </c>
      <c r="B6" s="10" t="s">
        <v>4</v>
      </c>
      <c r="C6" s="11">
        <v>56668.333333333336</v>
      </c>
      <c r="D6" s="11"/>
      <c r="E6" s="11">
        <v>13333.333333333334</v>
      </c>
      <c r="F6" s="11">
        <v>31933.333333333332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55"/>
    </row>
    <row r="7" spans="1:24" x14ac:dyDescent="0.35">
      <c r="A7" s="9">
        <v>6</v>
      </c>
      <c r="B7" s="10" t="s">
        <v>5</v>
      </c>
      <c r="C7" s="11">
        <v>0</v>
      </c>
      <c r="D7" s="11">
        <v>125000</v>
      </c>
      <c r="E7" s="11">
        <v>0</v>
      </c>
      <c r="F7" s="11">
        <v>0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55"/>
    </row>
    <row r="8" spans="1:24" x14ac:dyDescent="0.35">
      <c r="A8" s="9">
        <v>7</v>
      </c>
      <c r="B8" s="10" t="s">
        <v>6</v>
      </c>
      <c r="C8" s="11">
        <v>16190.952380952382</v>
      </c>
      <c r="D8" s="11"/>
      <c r="E8" s="11">
        <v>3809.5238095238101</v>
      </c>
      <c r="F8" s="11">
        <v>9123.8095238095248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55"/>
    </row>
    <row r="9" spans="1:24" x14ac:dyDescent="0.35">
      <c r="A9" s="9">
        <v>8</v>
      </c>
      <c r="B9" s="10" t="s">
        <v>7</v>
      </c>
      <c r="C9" s="11">
        <v>8095.4761904761908</v>
      </c>
      <c r="D9" s="11"/>
      <c r="E9" s="11">
        <v>1904.761904761905</v>
      </c>
      <c r="F9" s="11">
        <v>4561.9047619047624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55"/>
    </row>
    <row r="10" spans="1:24" x14ac:dyDescent="0.35">
      <c r="A10" s="9">
        <v>9</v>
      </c>
      <c r="B10" s="10" t="s">
        <v>8</v>
      </c>
      <c r="C10" s="11">
        <v>32381.904761904763</v>
      </c>
      <c r="D10" s="11"/>
      <c r="E10" s="11">
        <v>7619.0476190476202</v>
      </c>
      <c r="F10" s="11">
        <v>18247.61904761905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55"/>
    </row>
    <row r="11" spans="1:24" x14ac:dyDescent="0.35">
      <c r="A11" s="9">
        <v>10</v>
      </c>
      <c r="B11" s="10" t="s">
        <v>9</v>
      </c>
      <c r="C11" s="11">
        <v>72859.28571428571</v>
      </c>
      <c r="D11" s="11"/>
      <c r="E11" s="11">
        <v>17142.857142857141</v>
      </c>
      <c r="F11" s="11">
        <v>41057.142857142855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55"/>
    </row>
    <row r="12" spans="1:24" x14ac:dyDescent="0.35">
      <c r="A12" s="9">
        <v>11</v>
      </c>
      <c r="B12" s="10" t="s">
        <v>10</v>
      </c>
      <c r="C12" s="11">
        <v>72859.28571428571</v>
      </c>
      <c r="D12" s="11"/>
      <c r="E12" s="11">
        <v>17142.857142857141</v>
      </c>
      <c r="F12" s="11">
        <v>41057.142857142855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55"/>
    </row>
    <row r="13" spans="1:24" x14ac:dyDescent="0.35">
      <c r="A13" s="9">
        <v>12</v>
      </c>
      <c r="B13" s="10" t="s">
        <v>11</v>
      </c>
      <c r="C13" s="11">
        <v>72859.28571428571</v>
      </c>
      <c r="D13" s="11"/>
      <c r="E13" s="11">
        <v>17142.857142857141</v>
      </c>
      <c r="F13" s="11">
        <v>41057.142857142855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55"/>
    </row>
    <row r="14" spans="1:24" x14ac:dyDescent="0.35">
      <c r="A14" s="9">
        <v>13</v>
      </c>
      <c r="B14" s="10" t="s">
        <v>12</v>
      </c>
      <c r="C14" s="11">
        <v>56668.333333333336</v>
      </c>
      <c r="D14" s="11">
        <v>70000</v>
      </c>
      <c r="E14" s="11">
        <v>13333.333333333334</v>
      </c>
      <c r="F14" s="11">
        <v>31933.333333333332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55"/>
    </row>
    <row r="15" spans="1:24" x14ac:dyDescent="0.35">
      <c r="A15" s="9">
        <v>14</v>
      </c>
      <c r="B15" s="10" t="s">
        <v>13</v>
      </c>
      <c r="C15" s="11">
        <v>64763.809523809527</v>
      </c>
      <c r="D15" s="11"/>
      <c r="E15" s="11">
        <v>15238.09523809524</v>
      </c>
      <c r="F15" s="11">
        <v>36495.238095238099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55"/>
    </row>
    <row r="16" spans="1:24" x14ac:dyDescent="0.35">
      <c r="A16" s="9">
        <v>15</v>
      </c>
      <c r="B16" s="10" t="s">
        <v>14</v>
      </c>
      <c r="C16" s="11">
        <v>72859.28571428571</v>
      </c>
      <c r="D16" s="11"/>
      <c r="E16" s="11">
        <v>17142.857142857141</v>
      </c>
      <c r="F16" s="11">
        <v>71057.142857142899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55"/>
    </row>
    <row r="17" spans="1:24" x14ac:dyDescent="0.35">
      <c r="A17" s="9">
        <v>16</v>
      </c>
      <c r="B17" s="10" t="s">
        <v>15</v>
      </c>
      <c r="C17" s="11">
        <v>64763.809523809527</v>
      </c>
      <c r="D17" s="11"/>
      <c r="E17" s="11">
        <v>15238.09523809524</v>
      </c>
      <c r="F17" s="11">
        <v>36495.238095238099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55"/>
    </row>
    <row r="18" spans="1:24" x14ac:dyDescent="0.35">
      <c r="A18" s="9">
        <v>17</v>
      </c>
      <c r="B18" s="10" t="s">
        <v>16</v>
      </c>
      <c r="C18" s="11">
        <v>72859.28571428571</v>
      </c>
      <c r="D18" s="11"/>
      <c r="E18" s="11">
        <v>17142.857142857141</v>
      </c>
      <c r="F18" s="11">
        <v>41057.142857142855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55"/>
    </row>
    <row r="19" spans="1:24" x14ac:dyDescent="0.35">
      <c r="A19" s="9">
        <v>18</v>
      </c>
      <c r="B19" s="10" t="s">
        <v>17</v>
      </c>
      <c r="C19" s="11">
        <v>72859.28571428571</v>
      </c>
      <c r="D19" s="11"/>
      <c r="E19" s="11">
        <v>17142.857142857141</v>
      </c>
      <c r="F19" s="11">
        <v>41057.142857142855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55"/>
    </row>
    <row r="20" spans="1:24" x14ac:dyDescent="0.35">
      <c r="A20" s="9">
        <v>19</v>
      </c>
      <c r="B20" s="10" t="s">
        <v>18</v>
      </c>
      <c r="C20" s="11">
        <v>64763.809523809527</v>
      </c>
      <c r="D20" s="11"/>
      <c r="E20" s="11">
        <v>15238.09523809524</v>
      </c>
      <c r="F20" s="11">
        <v>36495.238095238099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55"/>
    </row>
    <row r="21" spans="1:24" x14ac:dyDescent="0.35">
      <c r="A21" s="9">
        <v>20</v>
      </c>
      <c r="B21" s="10" t="s">
        <v>19</v>
      </c>
      <c r="C21" s="11">
        <v>40000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55"/>
    </row>
    <row r="22" spans="1:24" x14ac:dyDescent="0.35">
      <c r="A22" s="9">
        <v>21</v>
      </c>
      <c r="B22" s="10" t="s">
        <v>25</v>
      </c>
      <c r="C22" s="11">
        <v>120000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55"/>
    </row>
    <row r="23" spans="1:24" x14ac:dyDescent="0.35">
      <c r="A23" s="9"/>
      <c r="B23" s="10"/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55"/>
    </row>
    <row r="24" spans="1:24" x14ac:dyDescent="0.35">
      <c r="A24" s="9"/>
      <c r="B24" s="10"/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55"/>
    </row>
    <row r="25" spans="1:24" x14ac:dyDescent="0.35">
      <c r="A25" s="9"/>
      <c r="B25" s="10"/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55"/>
    </row>
    <row r="26" spans="1:24" x14ac:dyDescent="0.35">
      <c r="A26" s="9"/>
      <c r="B26" s="10"/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55"/>
    </row>
    <row r="27" spans="1:24" x14ac:dyDescent="0.35">
      <c r="A27" s="9"/>
      <c r="B27" s="10"/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55"/>
    </row>
    <row r="28" spans="1:24" x14ac:dyDescent="0.35">
      <c r="A28" s="9"/>
      <c r="B28" s="10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55"/>
    </row>
    <row r="29" spans="1:24" x14ac:dyDescent="0.35">
      <c r="A29" s="9"/>
      <c r="B29" s="10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55"/>
    </row>
    <row r="30" spans="1:24" x14ac:dyDescent="0.35">
      <c r="A30" s="9"/>
      <c r="B30" s="10"/>
      <c r="C30" s="10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55"/>
    </row>
    <row r="31" spans="1:24" s="7" customFormat="1" ht="18.5" thickBot="1" x14ac:dyDescent="0.45">
      <c r="A31" s="235" t="s">
        <v>23</v>
      </c>
      <c r="B31" s="236"/>
      <c r="C31" s="12">
        <f t="shared" ref="C31:X31" si="0">SUM(C2:C30)</f>
        <v>1250025.0476190473</v>
      </c>
      <c r="D31" s="12">
        <f t="shared" si="0"/>
        <v>256667</v>
      </c>
      <c r="E31" s="12">
        <f t="shared" si="0"/>
        <v>261666.99999999994</v>
      </c>
      <c r="F31" s="12">
        <f t="shared" si="0"/>
        <v>569487.19047619053</v>
      </c>
      <c r="G31" s="12">
        <f t="shared" si="0"/>
        <v>0</v>
      </c>
      <c r="H31" s="12">
        <f t="shared" si="0"/>
        <v>0</v>
      </c>
      <c r="I31" s="12">
        <f t="shared" si="0"/>
        <v>0</v>
      </c>
      <c r="J31" s="12">
        <f t="shared" si="0"/>
        <v>0</v>
      </c>
      <c r="K31" s="12">
        <f t="shared" si="0"/>
        <v>0</v>
      </c>
      <c r="L31" s="12">
        <f t="shared" si="0"/>
        <v>0</v>
      </c>
      <c r="M31" s="12">
        <f t="shared" si="0"/>
        <v>0</v>
      </c>
      <c r="N31" s="12">
        <f t="shared" si="0"/>
        <v>0</v>
      </c>
      <c r="O31" s="12">
        <f t="shared" si="0"/>
        <v>0</v>
      </c>
      <c r="P31" s="12">
        <f t="shared" si="0"/>
        <v>0</v>
      </c>
      <c r="Q31" s="12">
        <f t="shared" si="0"/>
        <v>0</v>
      </c>
      <c r="R31" s="12">
        <f t="shared" si="0"/>
        <v>0</v>
      </c>
      <c r="S31" s="12">
        <f t="shared" si="0"/>
        <v>0</v>
      </c>
      <c r="T31" s="12">
        <f t="shared" si="0"/>
        <v>0</v>
      </c>
      <c r="U31" s="12">
        <f t="shared" si="0"/>
        <v>0</v>
      </c>
      <c r="V31" s="12">
        <f t="shared" si="0"/>
        <v>0</v>
      </c>
      <c r="W31" s="12">
        <f t="shared" si="0"/>
        <v>0</v>
      </c>
      <c r="X31" s="12">
        <f t="shared" si="0"/>
        <v>0</v>
      </c>
    </row>
  </sheetData>
  <sheetProtection algorithmName="SHA-512" hashValue="0lGzMQakqGr0PdB32G34M87igltQuzynrL82qUNQVRhuhKDLS+QBr9NrcLNsrCMoGwL2xgbzJKqhpX2NnCgYbg==" saltValue="UvaUaKR7YF0Ar2+ndjg45A==" spinCount="100000" sheet="1" objects="1" scenarios="1"/>
  <mergeCells count="1">
    <mergeCell ref="A31:B31"/>
  </mergeCells>
  <pageMargins left="0.7" right="0.7" top="0.75" bottom="0.75" header="0.3" footer="0.3"/>
  <pageSetup paperSize="9" scale="44" orientation="landscape" r:id="rId1"/>
  <headerFooter>
    <oddHeader>&amp;C&amp;"-,Gras"&amp;20ETAT DETAILLE DES EPARGNES DANS LA MICROFINANCE CAMDVI (Oct-2021-Juillet-2023)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46054-E32E-4379-AD83-37DBFFF6C4FD}">
  <sheetPr codeName="Feuil3">
    <tabColor rgb="FF00B0F0"/>
  </sheetPr>
  <dimension ref="A1:X35"/>
  <sheetViews>
    <sheetView topLeftCell="F1" zoomScaleNormal="100" workbookViewId="0">
      <pane ySplit="1" topLeftCell="A2" activePane="bottomLeft" state="frozen"/>
      <selection activeCell="A11" sqref="A11:XFD11"/>
      <selection pane="bottomLeft" activeCell="A11" sqref="A11:XFD11"/>
    </sheetView>
  </sheetViews>
  <sheetFormatPr baseColWidth="10" defaultColWidth="11.453125" defaultRowHeight="17.5" x14ac:dyDescent="0.35"/>
  <cols>
    <col min="1" max="1" width="4.1796875" style="8" customWidth="1"/>
    <col min="2" max="2" width="34.81640625" style="8" customWidth="1"/>
    <col min="3" max="3" width="13.7265625" style="8" bestFit="1" customWidth="1"/>
    <col min="4" max="7" width="11.54296875" style="8" bestFit="1" customWidth="1"/>
    <col min="8" max="8" width="12" style="8" bestFit="1" customWidth="1"/>
    <col min="9" max="19" width="11.54296875" style="8" bestFit="1" customWidth="1"/>
    <col min="20" max="20" width="12" style="8" bestFit="1" customWidth="1"/>
    <col min="21" max="24" width="11.54296875" style="8" bestFit="1" customWidth="1"/>
    <col min="25" max="16384" width="11.453125" style="8"/>
  </cols>
  <sheetData>
    <row r="1" spans="1:24" s="7" customFormat="1" ht="18" x14ac:dyDescent="0.4">
      <c r="A1" s="19" t="s">
        <v>20</v>
      </c>
      <c r="B1" s="20" t="s">
        <v>21</v>
      </c>
      <c r="C1" s="21">
        <v>44470</v>
      </c>
      <c r="D1" s="21">
        <v>44501</v>
      </c>
      <c r="E1" s="21">
        <v>44531</v>
      </c>
      <c r="F1" s="21">
        <v>44562</v>
      </c>
      <c r="G1" s="21">
        <v>44593</v>
      </c>
      <c r="H1" s="21">
        <v>44621</v>
      </c>
      <c r="I1" s="21">
        <v>44652</v>
      </c>
      <c r="J1" s="21">
        <v>44682</v>
      </c>
      <c r="K1" s="21">
        <v>44713</v>
      </c>
      <c r="L1" s="21">
        <v>44743</v>
      </c>
      <c r="M1" s="21">
        <v>44774</v>
      </c>
      <c r="N1" s="21">
        <v>44805</v>
      </c>
      <c r="O1" s="21">
        <v>44835</v>
      </c>
      <c r="P1" s="21">
        <v>44866</v>
      </c>
      <c r="Q1" s="21">
        <v>44896</v>
      </c>
      <c r="R1" s="21">
        <v>44927</v>
      </c>
      <c r="S1" s="21">
        <v>44958</v>
      </c>
      <c r="T1" s="21">
        <v>44986</v>
      </c>
      <c r="U1" s="21">
        <v>45017</v>
      </c>
      <c r="V1" s="21">
        <v>45047</v>
      </c>
      <c r="W1" s="21">
        <v>45078</v>
      </c>
      <c r="X1" s="22">
        <v>45108</v>
      </c>
    </row>
    <row r="2" spans="1:24" x14ac:dyDescent="0.35">
      <c r="A2" s="9">
        <v>1</v>
      </c>
      <c r="B2" s="10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55"/>
    </row>
    <row r="3" spans="1:24" x14ac:dyDescent="0.35">
      <c r="A3" s="9">
        <v>2</v>
      </c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55"/>
    </row>
    <row r="4" spans="1:24" x14ac:dyDescent="0.35">
      <c r="A4" s="9">
        <v>3</v>
      </c>
      <c r="B4" s="10" t="s">
        <v>2</v>
      </c>
      <c r="C4" s="11">
        <v>240000</v>
      </c>
      <c r="D4" s="11">
        <v>61667</v>
      </c>
      <c r="E4" s="11">
        <v>61667</v>
      </c>
      <c r="F4" s="11">
        <v>60487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55"/>
    </row>
    <row r="5" spans="1:24" x14ac:dyDescent="0.35">
      <c r="A5" s="9">
        <v>4</v>
      </c>
      <c r="B5" s="10" t="s">
        <v>3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55"/>
    </row>
    <row r="6" spans="1:24" x14ac:dyDescent="0.35">
      <c r="A6" s="9">
        <v>5</v>
      </c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55"/>
    </row>
    <row r="7" spans="1:24" x14ac:dyDescent="0.35">
      <c r="A7" s="9">
        <v>6</v>
      </c>
      <c r="B7" s="10" t="s">
        <v>5</v>
      </c>
      <c r="C7" s="11"/>
      <c r="D7" s="11">
        <v>125000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55"/>
    </row>
    <row r="8" spans="1:24" x14ac:dyDescent="0.35">
      <c r="A8" s="9">
        <v>7</v>
      </c>
      <c r="B8" s="10" t="s">
        <v>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55"/>
    </row>
    <row r="9" spans="1:24" x14ac:dyDescent="0.35">
      <c r="A9" s="9">
        <v>8</v>
      </c>
      <c r="B9" s="10" t="s">
        <v>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55"/>
    </row>
    <row r="10" spans="1:24" x14ac:dyDescent="0.35">
      <c r="A10" s="9">
        <v>9</v>
      </c>
      <c r="B10" s="10" t="s">
        <v>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55"/>
    </row>
    <row r="11" spans="1:24" x14ac:dyDescent="0.35">
      <c r="A11" s="9">
        <v>10</v>
      </c>
      <c r="B11" s="10" t="s">
        <v>9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55"/>
    </row>
    <row r="12" spans="1:24" x14ac:dyDescent="0.35">
      <c r="A12" s="9">
        <v>11</v>
      </c>
      <c r="B12" s="10" t="s">
        <v>10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55"/>
    </row>
    <row r="13" spans="1:24" x14ac:dyDescent="0.35">
      <c r="A13" s="9">
        <v>12</v>
      </c>
      <c r="B13" s="10" t="s">
        <v>11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55"/>
    </row>
    <row r="14" spans="1:24" x14ac:dyDescent="0.35">
      <c r="A14" s="9">
        <v>13</v>
      </c>
      <c r="B14" s="10" t="s">
        <v>12</v>
      </c>
      <c r="C14" s="11"/>
      <c r="D14" s="11">
        <v>70000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55"/>
    </row>
    <row r="15" spans="1:24" x14ac:dyDescent="0.35">
      <c r="A15" s="9">
        <v>14</v>
      </c>
      <c r="B15" s="10" t="s">
        <v>13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55"/>
    </row>
    <row r="16" spans="1:24" x14ac:dyDescent="0.35">
      <c r="A16" s="9">
        <v>15</v>
      </c>
      <c r="B16" s="10" t="s">
        <v>14</v>
      </c>
      <c r="C16" s="11"/>
      <c r="D16" s="11"/>
      <c r="E16" s="11"/>
      <c r="F16" s="11">
        <v>30000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55"/>
    </row>
    <row r="17" spans="1:24" x14ac:dyDescent="0.35">
      <c r="A17" s="9">
        <v>16</v>
      </c>
      <c r="B17" s="10" t="s">
        <v>15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55"/>
    </row>
    <row r="18" spans="1:24" x14ac:dyDescent="0.35">
      <c r="A18" s="9">
        <v>17</v>
      </c>
      <c r="B18" s="10" t="s">
        <v>16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55"/>
    </row>
    <row r="19" spans="1:24" x14ac:dyDescent="0.35">
      <c r="A19" s="9">
        <v>18</v>
      </c>
      <c r="B19" s="10" t="s">
        <v>17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55"/>
    </row>
    <row r="20" spans="1:24" x14ac:dyDescent="0.35">
      <c r="A20" s="9">
        <v>19</v>
      </c>
      <c r="B20" s="10" t="s">
        <v>18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55"/>
    </row>
    <row r="21" spans="1:24" x14ac:dyDescent="0.35">
      <c r="A21" s="9">
        <v>20</v>
      </c>
      <c r="B21" s="10" t="s">
        <v>19</v>
      </c>
      <c r="C21" s="11">
        <v>40000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55"/>
    </row>
    <row r="22" spans="1:24" x14ac:dyDescent="0.35">
      <c r="A22" s="9">
        <v>21</v>
      </c>
      <c r="B22" s="10" t="s">
        <v>25</v>
      </c>
      <c r="C22" s="11">
        <v>120000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55"/>
    </row>
    <row r="23" spans="1:24" x14ac:dyDescent="0.35">
      <c r="A23" s="9"/>
      <c r="B23" s="10"/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55"/>
    </row>
    <row r="24" spans="1:24" x14ac:dyDescent="0.35">
      <c r="A24" s="9"/>
      <c r="B24" s="10"/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55"/>
    </row>
    <row r="25" spans="1:24" x14ac:dyDescent="0.35">
      <c r="A25" s="9"/>
      <c r="B25" s="10"/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55"/>
    </row>
    <row r="26" spans="1:24" x14ac:dyDescent="0.35">
      <c r="A26" s="9"/>
      <c r="B26" s="10"/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55"/>
    </row>
    <row r="27" spans="1:24" x14ac:dyDescent="0.35">
      <c r="A27" s="9"/>
      <c r="B27" s="10"/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55"/>
    </row>
    <row r="28" spans="1:24" x14ac:dyDescent="0.35">
      <c r="A28" s="9"/>
      <c r="B28" s="10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55"/>
    </row>
    <row r="29" spans="1:24" x14ac:dyDescent="0.35">
      <c r="A29" s="9"/>
      <c r="B29" s="10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55"/>
    </row>
    <row r="30" spans="1:24" x14ac:dyDescent="0.35">
      <c r="A30" s="9"/>
      <c r="B30" s="10"/>
      <c r="C30" s="10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55"/>
    </row>
    <row r="31" spans="1:24" s="7" customFormat="1" ht="18.5" thickBot="1" x14ac:dyDescent="0.45">
      <c r="A31" s="235" t="s">
        <v>23</v>
      </c>
      <c r="B31" s="236"/>
      <c r="C31" s="12">
        <f t="shared" ref="C31:X31" si="0">SUM(C2:C30)</f>
        <v>400000</v>
      </c>
      <c r="D31" s="12">
        <f t="shared" si="0"/>
        <v>256667</v>
      </c>
      <c r="E31" s="12">
        <f t="shared" si="0"/>
        <v>61667</v>
      </c>
      <c r="F31" s="12">
        <f t="shared" si="0"/>
        <v>90487</v>
      </c>
      <c r="G31" s="12">
        <f t="shared" si="0"/>
        <v>0</v>
      </c>
      <c r="H31" s="12">
        <f t="shared" si="0"/>
        <v>0</v>
      </c>
      <c r="I31" s="12">
        <f t="shared" si="0"/>
        <v>0</v>
      </c>
      <c r="J31" s="12">
        <f t="shared" si="0"/>
        <v>0</v>
      </c>
      <c r="K31" s="12">
        <f t="shared" si="0"/>
        <v>0</v>
      </c>
      <c r="L31" s="12">
        <f t="shared" si="0"/>
        <v>0</v>
      </c>
      <c r="M31" s="12">
        <f t="shared" si="0"/>
        <v>0</v>
      </c>
      <c r="N31" s="12">
        <f t="shared" si="0"/>
        <v>0</v>
      </c>
      <c r="O31" s="12">
        <f t="shared" si="0"/>
        <v>0</v>
      </c>
      <c r="P31" s="12">
        <f t="shared" si="0"/>
        <v>0</v>
      </c>
      <c r="Q31" s="12">
        <f t="shared" si="0"/>
        <v>0</v>
      </c>
      <c r="R31" s="12">
        <f t="shared" si="0"/>
        <v>0</v>
      </c>
      <c r="S31" s="12">
        <f t="shared" si="0"/>
        <v>0</v>
      </c>
      <c r="T31" s="12">
        <f t="shared" si="0"/>
        <v>0</v>
      </c>
      <c r="U31" s="12">
        <f t="shared" si="0"/>
        <v>0</v>
      </c>
      <c r="V31" s="12">
        <f t="shared" si="0"/>
        <v>0</v>
      </c>
      <c r="W31" s="12">
        <f t="shared" si="0"/>
        <v>0</v>
      </c>
      <c r="X31" s="12">
        <f t="shared" si="0"/>
        <v>0</v>
      </c>
    </row>
    <row r="33" spans="2:7" s="66" customFormat="1" x14ac:dyDescent="0.35">
      <c r="B33" s="66" t="s">
        <v>87</v>
      </c>
      <c r="C33" s="66">
        <v>850025</v>
      </c>
      <c r="E33" s="66">
        <v>200000</v>
      </c>
      <c r="F33" s="66">
        <v>134000</v>
      </c>
      <c r="G33" s="66">
        <v>50000</v>
      </c>
    </row>
    <row r="34" spans="2:7" x14ac:dyDescent="0.35">
      <c r="B34" s="8" t="s">
        <v>88</v>
      </c>
      <c r="F34" s="66">
        <v>350000</v>
      </c>
    </row>
    <row r="35" spans="2:7" x14ac:dyDescent="0.35">
      <c r="C35" s="66">
        <f>C31+C33</f>
        <v>1250025</v>
      </c>
      <c r="D35" s="66">
        <f t="shared" ref="D35:E35" si="1">D31+D33</f>
        <v>256667</v>
      </c>
      <c r="E35" s="66">
        <f t="shared" si="1"/>
        <v>261667</v>
      </c>
      <c r="F35" s="66">
        <f>F31+F33+F34</f>
        <v>574487</v>
      </c>
    </row>
  </sheetData>
  <mergeCells count="1">
    <mergeCell ref="A31:B31"/>
  </mergeCells>
  <pageMargins left="0.7" right="0.7" top="0.75" bottom="0.75" header="0.3" footer="0.3"/>
  <pageSetup paperSize="9" scale="44" orientation="landscape" r:id="rId1"/>
  <headerFooter>
    <oddHeader>&amp;C&amp;"-,Gras"&amp;20ETAT DETAILLE DES EPARGNES DANS LA MICROFINANCE CAMDVI (Oct-2021-Juillet-2023)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FAA2-E3BD-4F89-9943-84FB8383E18F}">
  <sheetPr codeName="Feuil4">
    <tabColor rgb="FF00B0F0"/>
  </sheetPr>
  <dimension ref="A1:CD59"/>
  <sheetViews>
    <sheetView showGridLines="0" zoomScaleNormal="100" workbookViewId="0">
      <pane ySplit="1" topLeftCell="A38" activePane="bottomLeft" state="frozen"/>
      <selection activeCell="A11" sqref="A11:XFD11"/>
      <selection pane="bottomLeft" activeCell="C2" sqref="C2"/>
    </sheetView>
  </sheetViews>
  <sheetFormatPr baseColWidth="10" defaultColWidth="11.453125" defaultRowHeight="18" x14ac:dyDescent="0.4"/>
  <cols>
    <col min="1" max="1" width="3.26953125" style="82" bestFit="1" customWidth="1"/>
    <col min="2" max="2" width="21" style="83" customWidth="1"/>
    <col min="3" max="3" width="12" style="82" bestFit="1" customWidth="1"/>
    <col min="4" max="4" width="9.90625" style="82" bestFit="1" customWidth="1"/>
    <col min="5" max="5" width="12.6328125" style="82" customWidth="1"/>
    <col min="6" max="6" width="11.08984375" style="82" customWidth="1"/>
    <col min="7" max="7" width="12" style="82" customWidth="1"/>
    <col min="8" max="8" width="9.81640625" style="82" bestFit="1" customWidth="1"/>
    <col min="9" max="9" width="10.26953125" style="82" customWidth="1"/>
    <col min="10" max="10" width="7.26953125" style="82" bestFit="1" customWidth="1"/>
    <col min="11" max="11" width="11.26953125" style="82" customWidth="1"/>
    <col min="12" max="12" width="9.54296875" style="82" bestFit="1" customWidth="1"/>
    <col min="13" max="13" width="7.26953125" style="82" bestFit="1" customWidth="1"/>
    <col min="14" max="14" width="11" style="82" bestFit="1" customWidth="1"/>
    <col min="15" max="15" width="9.54296875" style="82" bestFit="1" customWidth="1"/>
    <col min="16" max="16" width="7.26953125" style="82" bestFit="1" customWidth="1"/>
    <col min="17" max="17" width="9.36328125" style="82" bestFit="1" customWidth="1"/>
    <col min="18" max="18" width="11.1796875" style="82" customWidth="1"/>
    <col min="19" max="19" width="7.26953125" style="82" bestFit="1" customWidth="1"/>
    <col min="20" max="20" width="9.36328125" style="82" bestFit="1" customWidth="1"/>
    <col min="21" max="21" width="9.54296875" style="82" bestFit="1" customWidth="1"/>
    <col min="22" max="22" width="7.26953125" style="82" bestFit="1" customWidth="1"/>
    <col min="23" max="23" width="11" style="82" bestFit="1" customWidth="1"/>
    <col min="24" max="24" width="9.54296875" style="82" bestFit="1" customWidth="1"/>
    <col min="25" max="25" width="7.90625" style="82" bestFit="1" customWidth="1"/>
    <col min="26" max="26" width="9.36328125" style="82" bestFit="1" customWidth="1"/>
    <col min="27" max="27" width="9.54296875" style="82" bestFit="1" customWidth="1"/>
    <col min="28" max="28" width="7.26953125" style="82" bestFit="1" customWidth="1"/>
    <col min="29" max="29" width="9.81640625" style="82" bestFit="1" customWidth="1"/>
    <col min="30" max="30" width="9.54296875" style="82" bestFit="1" customWidth="1"/>
    <col min="31" max="31" width="7.90625" style="82" bestFit="1" customWidth="1"/>
    <col min="32" max="32" width="11" style="82" bestFit="1" customWidth="1"/>
    <col min="33" max="33" width="10.36328125" style="82" bestFit="1" customWidth="1"/>
    <col min="34" max="34" width="7.90625" style="82" bestFit="1" customWidth="1"/>
    <col min="35" max="35" width="9.36328125" style="82" bestFit="1" customWidth="1"/>
    <col min="36" max="36" width="10.36328125" style="82" bestFit="1" customWidth="1"/>
    <col min="37" max="37" width="7.26953125" style="82" bestFit="1" customWidth="1"/>
    <col min="38" max="38" width="9.7265625" style="82" bestFit="1" customWidth="1"/>
    <col min="39" max="39" width="10.36328125" style="82" bestFit="1" customWidth="1"/>
    <col min="40" max="40" width="7.26953125" style="82" bestFit="1" customWidth="1"/>
    <col min="41" max="41" width="11" style="82" bestFit="1" customWidth="1"/>
    <col min="42" max="42" width="10.36328125" style="82" bestFit="1" customWidth="1"/>
    <col min="43" max="43" width="7.90625" style="82" bestFit="1" customWidth="1"/>
    <col min="44" max="44" width="9.81640625" style="82" bestFit="1" customWidth="1"/>
    <col min="45" max="45" width="10.36328125" style="82" bestFit="1" customWidth="1"/>
    <col min="46" max="46" width="7.26953125" style="82" bestFit="1" customWidth="1"/>
    <col min="47" max="47" width="9.6328125" style="82" bestFit="1" customWidth="1"/>
    <col min="48" max="48" width="10.36328125" style="82" bestFit="1" customWidth="1"/>
    <col min="49" max="49" width="7.90625" style="82" bestFit="1" customWidth="1"/>
    <col min="50" max="50" width="11" style="82" bestFit="1" customWidth="1"/>
    <col min="51" max="51" width="10.36328125" style="82" bestFit="1" customWidth="1"/>
    <col min="52" max="52" width="7.90625" style="82" bestFit="1" customWidth="1"/>
    <col min="53" max="53" width="11.26953125" style="82" bestFit="1" customWidth="1"/>
    <col min="54" max="54" width="10.36328125" style="82" bestFit="1" customWidth="1"/>
    <col min="55" max="55" width="7.26953125" style="82" bestFit="1" customWidth="1"/>
    <col min="56" max="56" width="9.36328125" style="82" bestFit="1" customWidth="1"/>
    <col min="57" max="57" width="10.36328125" style="82" bestFit="1" customWidth="1"/>
    <col min="58" max="58" width="7.26953125" style="82" bestFit="1" customWidth="1"/>
    <col min="59" max="59" width="11" style="82" bestFit="1" customWidth="1"/>
    <col min="60" max="60" width="14.81640625" style="82" customWidth="1"/>
    <col min="61" max="61" width="7.26953125" style="82" bestFit="1" customWidth="1"/>
    <col min="62" max="62" width="11.1796875" style="82" customWidth="1"/>
    <col min="63" max="63" width="10.36328125" style="82" bestFit="1" customWidth="1"/>
    <col min="64" max="64" width="7.81640625" style="82" customWidth="1"/>
    <col min="65" max="65" width="11" style="82" customWidth="1"/>
    <col min="66" max="66" width="10.36328125" style="82" bestFit="1" customWidth="1"/>
    <col min="67" max="67" width="7.26953125" style="82" bestFit="1" customWidth="1"/>
    <col min="68" max="68" width="11" style="82" customWidth="1"/>
    <col min="69" max="69" width="10.36328125" style="82" bestFit="1" customWidth="1"/>
    <col min="70" max="70" width="7.26953125" style="82" bestFit="1" customWidth="1"/>
    <col min="71" max="71" width="11" style="82" customWidth="1"/>
    <col min="72" max="72" width="10.36328125" style="82" bestFit="1" customWidth="1"/>
    <col min="73" max="73" width="7.26953125" style="82" bestFit="1" customWidth="1"/>
    <col min="74" max="74" width="10.453125" style="84" customWidth="1"/>
    <col min="75" max="75" width="15.90625" style="84" customWidth="1"/>
    <col min="76" max="76" width="13.1796875" style="84" customWidth="1"/>
    <col min="77" max="77" width="13.36328125" style="84" customWidth="1"/>
    <col min="78" max="78" width="12.453125" style="84" customWidth="1"/>
    <col min="79" max="79" width="7.7265625" style="84" customWidth="1"/>
    <col min="80" max="80" width="8.1796875" style="117" customWidth="1"/>
    <col min="81" max="81" width="14.26953125" style="8" customWidth="1"/>
    <col min="82" max="16384" width="11.453125" style="8"/>
  </cols>
  <sheetData>
    <row r="1" spans="1:82" s="92" customFormat="1" ht="61" thickTop="1" thickBot="1" x14ac:dyDescent="0.4">
      <c r="A1" s="106" t="s">
        <v>20</v>
      </c>
      <c r="B1" s="107" t="s">
        <v>21</v>
      </c>
      <c r="C1" s="108" t="s">
        <v>213</v>
      </c>
      <c r="D1" s="108" t="s">
        <v>150</v>
      </c>
      <c r="E1" s="108" t="s">
        <v>214</v>
      </c>
      <c r="F1" s="108" t="s">
        <v>129</v>
      </c>
      <c r="G1" s="108" t="s">
        <v>151</v>
      </c>
      <c r="H1" s="108" t="s">
        <v>215</v>
      </c>
      <c r="I1" s="108" t="s">
        <v>130</v>
      </c>
      <c r="J1" s="108" t="s">
        <v>154</v>
      </c>
      <c r="K1" s="108" t="s">
        <v>216</v>
      </c>
      <c r="L1" s="108" t="s">
        <v>131</v>
      </c>
      <c r="M1" s="108" t="s">
        <v>155</v>
      </c>
      <c r="N1" s="108" t="s">
        <v>217</v>
      </c>
      <c r="O1" s="108" t="s">
        <v>132</v>
      </c>
      <c r="P1" s="108" t="s">
        <v>156</v>
      </c>
      <c r="Q1" s="108" t="s">
        <v>218</v>
      </c>
      <c r="R1" s="108" t="s">
        <v>133</v>
      </c>
      <c r="S1" s="108" t="s">
        <v>157</v>
      </c>
      <c r="T1" s="108" t="s">
        <v>219</v>
      </c>
      <c r="U1" s="108" t="s">
        <v>134</v>
      </c>
      <c r="V1" s="108" t="s">
        <v>158</v>
      </c>
      <c r="W1" s="108" t="s">
        <v>220</v>
      </c>
      <c r="X1" s="108" t="s">
        <v>135</v>
      </c>
      <c r="Y1" s="108" t="s">
        <v>159</v>
      </c>
      <c r="Z1" s="108" t="s">
        <v>221</v>
      </c>
      <c r="AA1" s="108" t="s">
        <v>136</v>
      </c>
      <c r="AB1" s="108" t="s">
        <v>160</v>
      </c>
      <c r="AC1" s="108" t="s">
        <v>222</v>
      </c>
      <c r="AD1" s="108" t="s">
        <v>137</v>
      </c>
      <c r="AE1" s="108" t="s">
        <v>161</v>
      </c>
      <c r="AF1" s="108" t="s">
        <v>223</v>
      </c>
      <c r="AG1" s="108" t="s">
        <v>138</v>
      </c>
      <c r="AH1" s="108" t="s">
        <v>162</v>
      </c>
      <c r="AI1" s="108" t="s">
        <v>224</v>
      </c>
      <c r="AJ1" s="108" t="s">
        <v>139</v>
      </c>
      <c r="AK1" s="108" t="s">
        <v>163</v>
      </c>
      <c r="AL1" s="108" t="s">
        <v>225</v>
      </c>
      <c r="AM1" s="108" t="s">
        <v>140</v>
      </c>
      <c r="AN1" s="108" t="s">
        <v>164</v>
      </c>
      <c r="AO1" s="108" t="s">
        <v>226</v>
      </c>
      <c r="AP1" s="108" t="s">
        <v>141</v>
      </c>
      <c r="AQ1" s="108" t="s">
        <v>165</v>
      </c>
      <c r="AR1" s="108" t="s">
        <v>227</v>
      </c>
      <c r="AS1" s="108" t="s">
        <v>142</v>
      </c>
      <c r="AT1" s="108" t="s">
        <v>166</v>
      </c>
      <c r="AU1" s="108" t="s">
        <v>228</v>
      </c>
      <c r="AV1" s="108" t="s">
        <v>143</v>
      </c>
      <c r="AW1" s="108" t="s">
        <v>167</v>
      </c>
      <c r="AX1" s="108" t="s">
        <v>229</v>
      </c>
      <c r="AY1" s="108" t="s">
        <v>144</v>
      </c>
      <c r="AZ1" s="108" t="s">
        <v>168</v>
      </c>
      <c r="BA1" s="108" t="s">
        <v>230</v>
      </c>
      <c r="BB1" s="108" t="s">
        <v>145</v>
      </c>
      <c r="BC1" s="108" t="s">
        <v>169</v>
      </c>
      <c r="BD1" s="108" t="s">
        <v>231</v>
      </c>
      <c r="BE1" s="108" t="s">
        <v>146</v>
      </c>
      <c r="BF1" s="108" t="s">
        <v>170</v>
      </c>
      <c r="BG1" s="108" t="s">
        <v>232</v>
      </c>
      <c r="BH1" s="108" t="s">
        <v>147</v>
      </c>
      <c r="BI1" s="108" t="s">
        <v>171</v>
      </c>
      <c r="BJ1" s="108" t="s">
        <v>233</v>
      </c>
      <c r="BK1" s="108" t="s">
        <v>148</v>
      </c>
      <c r="BL1" s="108" t="s">
        <v>172</v>
      </c>
      <c r="BM1" s="108" t="s">
        <v>234</v>
      </c>
      <c r="BN1" s="108" t="s">
        <v>149</v>
      </c>
      <c r="BO1" s="108" t="s">
        <v>173</v>
      </c>
      <c r="BP1" s="108" t="s">
        <v>235</v>
      </c>
      <c r="BQ1" s="108" t="s">
        <v>192</v>
      </c>
      <c r="BR1" s="108" t="s">
        <v>189</v>
      </c>
      <c r="BS1" s="108" t="s">
        <v>236</v>
      </c>
      <c r="BT1" s="108" t="s">
        <v>191</v>
      </c>
      <c r="BU1" s="108" t="s">
        <v>190</v>
      </c>
      <c r="BV1" s="89" t="s">
        <v>24</v>
      </c>
      <c r="BW1" s="90" t="s">
        <v>152</v>
      </c>
      <c r="BX1" s="132" t="s">
        <v>175</v>
      </c>
      <c r="BY1" s="133" t="s">
        <v>182</v>
      </c>
      <c r="BZ1" s="133" t="s">
        <v>181</v>
      </c>
      <c r="CA1" s="91" t="s">
        <v>153</v>
      </c>
      <c r="CB1" s="112" t="s">
        <v>174</v>
      </c>
      <c r="CC1" s="118" t="s">
        <v>180</v>
      </c>
      <c r="CD1" s="126"/>
    </row>
    <row r="2" spans="1:82" ht="18.5" thickBot="1" x14ac:dyDescent="0.45">
      <c r="A2" s="81">
        <f>epargne_mensuelle!A2</f>
        <v>1</v>
      </c>
      <c r="B2" s="81" t="str">
        <f>epargne_mensuelle!B2</f>
        <v>ACTIONNIRE1</v>
      </c>
      <c r="C2" s="146">
        <f>SUM(epargne_mensuelle!C2:E2)</f>
        <v>956801.76963500306</v>
      </c>
      <c r="D2" s="93">
        <f t="shared" ref="D2:D36" si="0">(C2/C$48)*C$53</f>
        <v>120939.884778248</v>
      </c>
      <c r="E2" s="146">
        <f>epargne_mensuelle!F2</f>
        <v>0</v>
      </c>
      <c r="F2" s="93">
        <f t="shared" ref="F2:F36" si="1">C2-(C2/C$48)*C$52+(C2/C$48)*C$53+E2+(C2/C$48)*C$54</f>
        <v>143244.18067165045</v>
      </c>
      <c r="G2" s="93">
        <f t="shared" ref="G2:G36" si="2">(F2/F$48)*E$53</f>
        <v>0</v>
      </c>
      <c r="H2" s="146">
        <f>epargne_mensuelle!G2</f>
        <v>0</v>
      </c>
      <c r="I2" s="93">
        <f t="shared" ref="I2:I36" si="3">IF(F$48=0,F2+H2+((C2+E2)/(C$48+E$48))*E$54,F2-((F2/F$48)*E$52)+(F2/F$48)*E$53+H2+((C2+E2)/(C$48+E$48))*E$54)</f>
        <v>163202.95332052457</v>
      </c>
      <c r="J2" s="93">
        <f t="shared" ref="J2:J36" si="4">(I2/I$48)*H$53</f>
        <v>15506.393158344748</v>
      </c>
      <c r="K2" s="146">
        <f>epargne_mensuelle!H2</f>
        <v>0</v>
      </c>
      <c r="L2" s="93">
        <f t="shared" ref="L2:L36" si="5">IF(I$48=0,I2+K2+((C2+E2+H2)/(C$48+E$48+H$48))*H$54,I2-((I2/I$48)*H$52)+(I2/I$48)*H$53+K2+((C2+E2+H2)/(C$48+E$48+H$48))*H$54)</f>
        <v>138884.9683690572</v>
      </c>
      <c r="M2" s="93">
        <f t="shared" ref="M2:M36" si="6">(L2/L$48)*K$53</f>
        <v>5374.4157762474288</v>
      </c>
      <c r="N2" s="146">
        <f>epargne_mensuelle!I2</f>
        <v>0</v>
      </c>
      <c r="O2" s="93">
        <f t="shared" ref="O2:O36" si="7">IF(L$48=0,L2+N2+((C2+E2+H2+K2)/(C$48+E$48+H$48+K$48))*K$54,L2-((L2/L$48)*K$52)+(L2/L$48)*K$53+N2+((C2+E2+H2+K2)/(C$48+E$48+H$48+K$48))*K$54)</f>
        <v>121697.98174754859</v>
      </c>
      <c r="P2" s="93">
        <f t="shared" ref="P2:P36" si="8">(O2/O$48)*N$53</f>
        <v>1924.1386985867598</v>
      </c>
      <c r="Q2" s="137">
        <f>epargne_mensuelle!J2</f>
        <v>25000</v>
      </c>
      <c r="R2" s="93">
        <f t="shared" ref="R2:R36" si="9">IF(O$48=0,O2+Q2+((C2+E2+H2+K2+N2)/(C$48+E$48+H$48+K$48+N$48))*N$54,O2-((O2/O$48)*N$52)+(O2/O$48)*N$53+Q2+((C2+E2+H2+K2+N2)/(C$48+E$48+H$48+K$48+N$48))*N$54)</f>
        <v>213351.82190029617</v>
      </c>
      <c r="S2" s="93">
        <f t="shared" ref="S2:S36" si="10">(R2/R$48)*Q$53</f>
        <v>17729.448303320212</v>
      </c>
      <c r="T2" s="137">
        <f>epargne_mensuelle!K2</f>
        <v>0</v>
      </c>
      <c r="U2" s="93">
        <f t="shared" ref="U2:U36" si="11">IF(R$48=0,R2+T2+((C2+E2+H2+K2+N2+Q2)/(C$48+E$48+H$48+K$48+N$48+Q$48))*Q$54,R2-((R2/R$48)*Q$52)+(R2/R$48)*Q$53+T2+((C2+E2+H2+K2+N2+Q2)/(C$48+E$48+H$48+K$48+N$48+Q$48))*Q$54)</f>
        <v>265756.73946209846</v>
      </c>
      <c r="V2" s="93">
        <f t="shared" ref="V2:V36" si="12">(U2/U$48)*T$53</f>
        <v>0</v>
      </c>
      <c r="W2" s="137">
        <f>epargne_mensuelle!L2</f>
        <v>0</v>
      </c>
      <c r="X2" s="93">
        <f t="shared" ref="X2:X36" si="13">IF(U$48=0,U2+W2+((C2+E2+H2+K2+N2+Q2+T2)/(C$48+E$48+H$48+K$48+N$48+Q$48+T$48))*T$54,U2-((U2/U$48)*T$52)+(U2/U$48)*T$53+W2+((C2+E2+H2+K2+N2+Q2+T2)/(C$48+E$48+H$48+K$48+N$48+Q$48+T$48))*T$54)</f>
        <v>265756.73946209846</v>
      </c>
      <c r="Y2" s="93">
        <f t="shared" ref="Y2:Y36" si="14">(X2/X$48)*W$53</f>
        <v>0</v>
      </c>
      <c r="Z2" s="137">
        <f>epargne_mensuelle!M2</f>
        <v>0</v>
      </c>
      <c r="AA2" s="93">
        <f t="shared" ref="AA2:AA36" si="15">IF(X$48=0,X2+Z2+((C2+E2+H2+K2+N2+Q2+T2+W2)/(C$48+E$48+H$48+K$48+N$48+Q$48+T$48+W$48))*W$54,X2-((X2/X$48)*W$52)+(X2/X$48)*W$53+Z2+((C2+E2+H2+K2+N2+Q2+T2+W2)/(C$48+E$48+H$48+K$48+N$48+Q$48+T$48+W$48))*W$54)</f>
        <v>265756.73946209846</v>
      </c>
      <c r="AB2" s="93">
        <f t="shared" ref="AB2:AB36" si="16">(AA2/AA$48)*Z$53</f>
        <v>0</v>
      </c>
      <c r="AC2" s="137">
        <f>epargne_mensuelle!N2</f>
        <v>0</v>
      </c>
      <c r="AD2" s="93">
        <f t="shared" ref="AD2:AD36" si="17">IF(AA$48=0,AA2+AC2+((C2+E2+H2+K2+N2+Q2+T2+W2+Z2)/(C$48+E$48+H$48+K$48+N$48+Q$48+T$48+W$48+Z$48))*Z$54,AA2-((AA2/AA$48)*Z$52)+(AA2/AA$48)*Z$53+AC2+((C2+E2+H2+K2+N2+Q2+T2+W2+Z2)/(C$48+E$48+H$48+K$48+N$48+Q$48+T$48+W$48+Z$48))*Z$54)</f>
        <v>265756.73946209846</v>
      </c>
      <c r="AE2" s="93">
        <f t="shared" ref="AE2:AE36" si="18">(AD2/AD$48)*AC$53</f>
        <v>0</v>
      </c>
      <c r="AF2" s="137">
        <f>epargne_mensuelle!O2</f>
        <v>0</v>
      </c>
      <c r="AG2" s="93">
        <f t="shared" ref="AG2:AG36" si="19">IF(AD$48=0,AD2+AF2+((C2+E2+H2+K2+N2+Q2+T2+W2+Z2+AC2)/(C$48+E$48+H$48+K$48+N$48+Q$48+T$48+W$48+Z$48+AC$48))*AC$54,AD2-((AD2/AD$48)*AC$52)+(AD2/AD$48)*AC$53+AF2+((C2+E2+H2+K2+N2+Q2+T2+W2+Z2+AC2)/(C$48+E$48+H$48+K$48+N$48+Q$48+T$48+W$48+Z$48+AC$48))*AC$54)</f>
        <v>265756.73946209846</v>
      </c>
      <c r="AH2" s="93">
        <f t="shared" ref="AH2:AH36" si="20">(AG2/AG$48)*AF$53</f>
        <v>0</v>
      </c>
      <c r="AI2" s="137">
        <f>epargne_mensuelle!P2</f>
        <v>0</v>
      </c>
      <c r="AJ2" s="93">
        <f t="shared" ref="AJ2:AJ36" si="21">IF(AG$48=0,AG2+AI2+((C2+E2+H2+K2+N2+Q2+T2+W2+Z2+AC2+AF2)/(C$48+E$48+H$48+K$48+N$48+Q$48+T$48+W$48+Z$48+AC$48+AF$48))*AF$54,AG2-((AG2/AG$48)*AF$52)+(AG2/AG$48)*AF$53+AI2+((C2+E2+H2+K2+N2+Q2+T2+W2+Z2+AC2+AF2)/(C$48+E$48+H$48+K$48+N$48+Q$48+T$48+W$48+Z$48+AC$48+AF$48))*AF$54)</f>
        <v>265756.73946209846</v>
      </c>
      <c r="AK2" s="93">
        <f t="shared" ref="AK2:AK36" si="22">(AJ2/AJ$48)*AI$53</f>
        <v>0</v>
      </c>
      <c r="AL2" s="137">
        <f>epargne_mensuelle!Q2</f>
        <v>0</v>
      </c>
      <c r="AM2" s="93">
        <f t="shared" ref="AM2:AM36" si="23">IF(AJ$48=0,AJ2+AL2+((C2+E2+H2+K2+N2+Q2+T2+W2+Z2+AC2+AF2+AI2)/(C$48+E$48+H$48+K$48+N$48+Q$48+T$48+W$48+Z$48+AC$48+AF$48+AI$48))*AI$54,AJ2-((AJ2/AJ$48)*AI$52)+(AJ2/AJ$48)*AI$53+AL2+((C2+E2+H2+K2+N2+Q2+T2+W2+Z2+AC2+AF2+AI2)/(C$48+E$48+H$48+K$48+N$48+Q$48+T$48+W$48+Z$48+AC$48+AF$48+AI$48))*AI$54)</f>
        <v>265756.73946209846</v>
      </c>
      <c r="AN2" s="93">
        <f t="shared" ref="AN2:AN36" si="24">(AM2/AM$48)*AL$53</f>
        <v>0</v>
      </c>
      <c r="AO2" s="137">
        <f>epargne_mensuelle!R2</f>
        <v>0</v>
      </c>
      <c r="AP2" s="93">
        <f t="shared" ref="AP2:AP36" si="25">IF(AM$48=0,AM2+AO2+((C2+E2+H2+K2+N2+Q2+T2+W2+Z2+AC2+AF2+AI2+AL2)/(C$48+E$48+H$48+K$48+N$48+Q$48+T$48+W$48+Z$48+AC$48+AF$48+AI$48+AL$48))*AL$54,AM2-((AM2/AM$48)*AL$52)+(AM2/AM$48)*AL$53+AO2+((C2+E2+H2+K2+N2+Q2+T2+W2+Z2+AC2+AF2+AI2+AL2)/(C$48+E$48+H$48+K$48+N$48+Q$48+T$48+W$48+Z$48+AC$48+AF$48+AI$48+AL$48))*AL$54)</f>
        <v>265756.73946209846</v>
      </c>
      <c r="AQ2" s="93">
        <f t="shared" ref="AQ2:AQ36" si="26">(AP2/AP$48)*AO$53</f>
        <v>0</v>
      </c>
      <c r="AR2" s="137">
        <f>epargne_mensuelle!S2</f>
        <v>0</v>
      </c>
      <c r="AS2" s="93">
        <f t="shared" ref="AS2:AS36" si="27">IF(AP$48=0,AP2+AR2+((C2+E2+H2+K2+N2+Q2+T2+W2+Z2+AC2+AF2+AI2+AL2+AO2)/(C$48+E$48+H$48+K$48+N$48+Q$48+T$48+W$48+Z$48+AC$48+AF$48+AI$48+AL$48+AO$48))*AO$54,AP2-((AP2/AP$48)*AO$52)+(AP2/AP$48)*AO$53+AR2+((C2+E2+H2+K2+N2+Q2+T2+W2+Z2+AC2+AF2+AI2+AL2+AO2)/(C$48+E$48+H$48+K$48+N$48+Q$48+T$48+W$48+Z$48+AC$48+AF$48+AI$48+AL$48+AO$48))*AO$54)</f>
        <v>265756.73946209846</v>
      </c>
      <c r="AT2" s="93">
        <f t="shared" ref="AT2:AT36" si="28">(AS2/AS$48)*AR$53</f>
        <v>0</v>
      </c>
      <c r="AU2" s="137">
        <f>epargne_mensuelle!T2</f>
        <v>0</v>
      </c>
      <c r="AV2" s="93">
        <f t="shared" ref="AV2:AV36" si="29">IF(AS$48=0,AS2+AU2+((C2+E2+H2+K2+N2+Q2+T2+W2+Z2+AC2+AF2+AI2+AL2+AO2+AR2)/(C$48+E$48+H$48+K$48+N$48+Q$48+T$48+W$48+Z$48+AC$48+AF$48+AI$48+AL$48+AO$48+AR$48))*AR$54,AS2-((AS2/AS$48)*AR$52)+(AS2/AS$48)*AR$53+AU2+((C2+E2+H2+K2+N2+Q2+T2+W2+Z2+AC2+AF2+AI2+AL2+AO2+AR2)/(C$48+E$48+H$48+K$48+N$48+Q$48+T$48+W$48+Z$48+AC$48+AF$48+AI$48+AL$48+AO$48+AR$48))*AR$54)</f>
        <v>265756.73946209846</v>
      </c>
      <c r="AW2" s="93">
        <f t="shared" ref="AW2:AW36" si="30">(AV2/AV$48)*AU$53</f>
        <v>0</v>
      </c>
      <c r="AX2" s="137">
        <f>epargne_mensuelle!U2</f>
        <v>0</v>
      </c>
      <c r="AY2" s="93">
        <f t="shared" ref="AY2:AY36" si="31">IF(AV$48=0,AV2+AX2+((C2+E2+H2+K2+N2+Q2+T2+W2+Z2+AC2+AF2+AI2+AL2+AO2+AR2+AU2)/(C$48+E$48+H$48+K$48+N$48+Q$48+T$48+W$48+Z$48+AC$48+AF$48+AI$48+AL$48+AO$48+AR$48+AU$48))*AU$54,AV2-((AV2/AV$48)*AU$52)+(AV2/AV$48)*AU$53+AX2+((C2+E2+H2+K2+N2+Q2+T2+W2+Z2+AC2+AF2+AI2+AL2+AO2+AR2+AU2)/(C$48+E$48+H$48+K$48+N$48+Q$48+T$48+W$48+Z$48+AC$48+AF$48+AI$48+AL$48+AO$48+AR$48+AU$48))*AU$54)</f>
        <v>265756.73946209846</v>
      </c>
      <c r="AZ2" s="93">
        <f t="shared" ref="AZ2:AZ36" si="32">(AY2/AY$48)*AX$53</f>
        <v>0</v>
      </c>
      <c r="BA2" s="137">
        <f>epargne_mensuelle!V2</f>
        <v>0</v>
      </c>
      <c r="BB2" s="93">
        <f t="shared" ref="BB2:BB36" si="33">IF(AY$48=0,AY2+BA2+((C2+E2+H2+K2+N2+Q2+T2+W2+Z2+AC2+AF2+AI2+AL2+AO2+AR2+AU2+AX2)/(C$48+E$48+H$48+K$48+N$48+Q$48+T$48+W$48+Z$48+AC$48+AF$48+AI$48+AL$48+AO$48+AR$48+AU$48+AX$48))*AX$54,AY2-((AY2/AY$48)*AX$52)+(AY2/AY$48)*AX$53+BA2+((C2+E2+H2+K2+N2+Q2+T2+W2+Z2+AC2+AF2+AI2+AL2+AO2+AR2+AU2+AX2)/(C$48+E$48+H$48+K$48+N$48+Q$48+T$48+W$48+Z$48+AC$48+AF$48+AI$48+AL$48+AO$48+AR$48+AU$48+AX$48))*AX$54)</f>
        <v>265756.73946209846</v>
      </c>
      <c r="BC2" s="93">
        <f t="shared" ref="BC2:BC36" si="34">(BB2/BB$48)*BA$53</f>
        <v>0</v>
      </c>
      <c r="BD2" s="137">
        <f>epargne_mensuelle!W2</f>
        <v>0</v>
      </c>
      <c r="BE2" s="93">
        <f t="shared" ref="BE2:BE36" si="35">IF(BB$48=0,BB2+BD2+((C2+E2+H2+K2+N2+Q2+T2+W2+Z2+AC2+AF2+AI2+AL2+AO2+AR2+AU2+AX2+BA2)/(C$48+E$48+H$48+K$48+N$48+Q$48+T$48+W$48+Z$48+AC$48+AF$48+AI$48+AL$48+AO$48+AR$48+AU$48+AX$48+BA$48))*BA$54,BB2-((BB2/BB$48)*BA$52)+(BB2/BB$48)*BA$53+BD2+((C2+E2+H2+K2+N2+Q2+T2+W2+Z2+AC2+AF2+AI2+AL2+AO2+AR2+AU2+AX2+BA2)/(C$48+E$48+H$48+K$48+N$48+Q$48+T$48+W$48+Z$48+AC$48+AF$48+AI$48+AL$48+AO$48+AR$48+AU$48+AX$48+BA$48))*BA$54)</f>
        <v>265756.73946209846</v>
      </c>
      <c r="BF2" s="93">
        <f t="shared" ref="BF2:BF36" si="36">(BE2/BE$48)*BD$53</f>
        <v>0</v>
      </c>
      <c r="BG2" s="137">
        <f>epargne_mensuelle!X2</f>
        <v>0</v>
      </c>
      <c r="BH2" s="93">
        <f t="shared" ref="BH2:BH36" si="37">IF(BE$48=0,BE2+BG2+((C2+E2+H2+K2+N2+Q2+T2+W2+Z2+AC2+AF2+AI2+AL2+AO2+AR2+AU2+AX2+BA2+BD2)/(C$48+E$48+H$48+K$48+N$48+Q$48+T$48+W$48+Z$48+AC$48+AF$48+AI$48+AL$48+AO$48+AR$48+AU$48+AX$48+BA$48+BD$48))*BD$54,BE2-((BE2/BE$48)*BD$52)+(BE2/BE$48)*BD$53+BG2+((C2+E2+H2+K2+N2+Q2+T2+W2+Z2+AC2+AF2+AI2+AL2+AO2+AR2+AU2+AX2+BA2+BD2)/(C$48+E$48+H$48+K$48+N$48+Q$48+T$48+W$48+Z$48+AC$48+AF$48+AI$48+AL$48+AO$48+AR$48+AU$48+AX$48+BA$48+BD$48))*BD$54)</f>
        <v>265756.73946209846</v>
      </c>
      <c r="BI2" s="93">
        <f t="shared" ref="BI2:BI36" si="38">(BH2/BH$48)*BG$53</f>
        <v>0</v>
      </c>
      <c r="BJ2" s="137">
        <f>epargne_mensuelle!Y2</f>
        <v>0</v>
      </c>
      <c r="BK2" s="93">
        <f t="shared" ref="BK2:BK36" si="39">IF(BH$48=0,BH2+BJ2+((C2+E2+H2+K2+N2+Q2+T2+W2+Z2+AC2+AF2+AI2+AL2+AO2+AR2+AU2+AX2+BA2+BD2+BG2)/(C$48+E$48+H$48+K$48+N$48+Q$48+T$48+W$48+Z$48+AC$48+AF$48+AI$48+AL$48+AO$48+AR$48+AU$48+AX$48+BA$48+BD$48+BG$48))*BG$54,BH2-((BH2/BH$48)*BG$52)+(BH2/BH$48)*BG$53+BJ2+((C2+E2+H2+K2+N2+Q2+T2+W2+Z2+AC2+AF2+AI2+AL2+AO2+AR2+AU2+AX2+BA2+BD2+BG2)/(C$48+E$48+H$48+K$48+N$48+Q$48+T$48+W$48+Z$48+AC$48+AF$48+AI$48+AL$48+AO$48+AR$48+AU$48+AX$48+BA$48+BD$48+BG$48))*BG$54)</f>
        <v>265756.73946209846</v>
      </c>
      <c r="BL2" s="93">
        <f t="shared" ref="BL2:BL36" si="40">(BK2/BK$48)*BJ$53</f>
        <v>0</v>
      </c>
      <c r="BM2" s="137">
        <f>epargne_mensuelle!Z2</f>
        <v>0</v>
      </c>
      <c r="BN2" s="93">
        <f t="shared" ref="BN2:BN36" si="41">IF(BK$48=0,BK2+BM2+((C2+E2+H2+K2+N2+Q2+T2+W2+Z2+AC2+AF2+AI2+AL2+AO2+AR2+AU2+AX2+BA2+BD2+BG2+BJ2)/(C$48+E$48+H$48+K$48+N$48+Q$48+T$48+W$48+Z$48+AC$48+AF$48+AI$48+AL$48+AO$48+AR$48+AU$48+AX$48+BA$48+BD$48+BG$48+BJ$48))*BJ$54,BK2-((BK2/BK$48)*BJ$52)+(BK2/BK$48)*BJ$53+BM2+((C2+E2+H2+K2+N2+Q2+T2+W2+Z2+AC2+AF2+AI2+AL2+AO2+AR2+AU2+AX2+BA2+BD2+BG2+BJ2)/(C$48+E$48+H$48+K$48+N$48+Q$48+T$48+W$48+Z$48+AC$48+AF$48+AI$48+AL$48+AO$48+AR$48+AU$48+AX$48+BA$48+BD$48+BG$48+BJ$48))*BJ$54)</f>
        <v>265756.73946209846</v>
      </c>
      <c r="BO2" s="93">
        <f t="shared" ref="BO2:BO36" si="42">(BN2/BN$48)*BM$53</f>
        <v>0</v>
      </c>
      <c r="BP2" s="137">
        <f>epargne_mensuelle!AA2</f>
        <v>0</v>
      </c>
      <c r="BQ2" s="93">
        <f t="shared" ref="BQ2:BQ36" si="43">IF(BN$48=0,BN2+BP2+((F2+H2+K2+N2+Q2+T2+W2+Z2+AC2+AF2+AI2+AL2+AO2+AR2+AU2+AX2+BA2+BD2+BG2+BJ2+BM2)/(F$48+H$48+K$48+N$48+Q$48+T$48+W$48+Z$48+AC$48+AF$48+AI$48+AL$48+AO$48+AR$48+AU$48+AX$48+BA$48+BD$48+BG$48+BJ$48+BM$48))*BM$54,BN2-((BN2/BN$48)*BM$52)+(BN2/BN$48)*BM$53+BP2+((F2+H2+K2+N2+Q2+T2+W2+Z2+AC2+AF2+AI2+AL2+AO2+AR2+AU2+AX2+BA2+BD2+BG2+BJ2+BM2)/(F$48+H$48+K$48+N$48+Q$48+T$48+W$48+Z$48+AC$48+AF$48+AI$48+AL$48+AO$48+AR$48+AU$48+AX$48+BA$48+BD$48+BG$48+BJ$48+BM$48))*BM$54)</f>
        <v>265756.73946209846</v>
      </c>
      <c r="BR2" s="93">
        <f t="shared" ref="BR2:BR36" si="44">(BQ2/BQ$48)*BP$53</f>
        <v>0</v>
      </c>
      <c r="BS2" s="137">
        <f>epargne_mensuelle!AB2</f>
        <v>0</v>
      </c>
      <c r="BT2" s="93">
        <f t="shared" ref="BT2:BT36" si="45">IF(BQ$48=0,BQ2+BS2+((I2+K2+N2+Q2+T2+W2+Z2+AC2+AF2+AI2+AL2+AO2+AR2+AU2+AX2+BA2+BD2+BG2+BJ2+BM2+BP2)/(I$48+K$48+N$48+Q$48+T$48+W$48+Z$48+AC$48+AF$48+AI$48+AL$48+AO$48+AR$48+AU$48+AX$48+BA$48+BD$48+BG$48+BJ$48+BM$48+BP$48))*BP$54,BQ2-((BQ2/BQ$48)*BP$52)+(BQ2/BQ$48)*BP$53+BS2+((I2+K2+N2+Q2+T2+W2+Z2+AC2+AF2+AI2+AL2+AO2+AR2+AU2+AX2+BA2+BD2+BG2+BJ2+BM2+BP2)/(I$48+K$48+N$48+Q$48+T$48+W$48+Z$48+AC$48+AF$48+AI$48+AL$48+AO$48+AR$48+AU$48+AX$48+BA$48+BD$48+BG$48+BJ$48+BM$48+BP$48))*BP$54)</f>
        <v>265756.73946209846</v>
      </c>
      <c r="BU2" s="93">
        <f t="shared" ref="BU2:BU36" si="46">(BT2/BT$48)*BS$53</f>
        <v>0</v>
      </c>
      <c r="BV2" s="94">
        <f>cumul_epargne!C2</f>
        <v>981801.76963500306</v>
      </c>
      <c r="BW2" s="95">
        <f>D2+G2+J2+M2+P2+S2+V2+Y2+AB2+AE2+AH2+AK2+AN2+AQ2+AT2+AW2+AZ2+BC2+BF2+BI2+BL2+BO2+BR2+BU2</f>
        <v>161474.28071474715</v>
      </c>
      <c r="BX2" s="134">
        <f>IF(BV2="",BW2,BV2+BW2)</f>
        <v>1143276.0503497501</v>
      </c>
      <c r="BY2" s="135"/>
      <c r="BZ2" s="135">
        <f>BX2+BY2</f>
        <v>1143276.0503497501</v>
      </c>
      <c r="CA2" s="96">
        <f>IF(BV2="","",BW2/BV2)</f>
        <v>0.16446729442622335</v>
      </c>
      <c r="CB2" s="113">
        <f t="shared" ref="CB2:CB36" si="47">BZ2/BZ$48</f>
        <v>2.5200718923345002E-2</v>
      </c>
      <c r="CC2" s="119">
        <f t="shared" ref="CC2:CC36" si="48">CB2*(C$50-BW$58-BW$57)</f>
        <v>109088.94717351833</v>
      </c>
      <c r="CD2" s="8" t="str">
        <f t="shared" ref="CD2:CD24" si="49">B2</f>
        <v>ACTIONNIRE1</v>
      </c>
    </row>
    <row r="3" spans="1:82" ht="18.5" thickBot="1" x14ac:dyDescent="0.45">
      <c r="A3" s="81">
        <f>epargne_mensuelle!A3</f>
        <v>2</v>
      </c>
      <c r="B3" s="81" t="str">
        <f>epargne_mensuelle!B3</f>
        <v>ACTIONNIRE2</v>
      </c>
      <c r="C3" s="146">
        <f>SUM(epargne_mensuelle!C3:E3)</f>
        <v>270897.46969589533</v>
      </c>
      <c r="D3" s="93">
        <f t="shared" si="0"/>
        <v>34241.480117912557</v>
      </c>
      <c r="E3" s="146">
        <f>epargne_mensuelle!F3</f>
        <v>0</v>
      </c>
      <c r="F3" s="93">
        <f t="shared" si="1"/>
        <v>40556.453096250829</v>
      </c>
      <c r="G3" s="93">
        <f t="shared" si="2"/>
        <v>0</v>
      </c>
      <c r="H3" s="146">
        <f>epargne_mensuelle!G3</f>
        <v>300000</v>
      </c>
      <c r="I3" s="93">
        <f t="shared" si="3"/>
        <v>346207.34252852917</v>
      </c>
      <c r="J3" s="93">
        <f t="shared" si="4"/>
        <v>32894.179047175145</v>
      </c>
      <c r="K3" s="146">
        <f>epargne_mensuelle!H3</f>
        <v>0</v>
      </c>
      <c r="L3" s="93">
        <f t="shared" si="5"/>
        <v>167933.79742192372</v>
      </c>
      <c r="M3" s="93">
        <f t="shared" si="6"/>
        <v>6498.5150000625181</v>
      </c>
      <c r="N3" s="146">
        <f>epargne_mensuelle!I3</f>
        <v>0</v>
      </c>
      <c r="O3" s="93">
        <f t="shared" si="7"/>
        <v>107160.87180748722</v>
      </c>
      <c r="P3" s="93">
        <f t="shared" si="8"/>
        <v>1694.2958088393643</v>
      </c>
      <c r="Q3" s="137">
        <f>epargne_mensuelle!J3</f>
        <v>0</v>
      </c>
      <c r="R3" s="93">
        <f t="shared" si="9"/>
        <v>133822.24092982555</v>
      </c>
      <c r="S3" s="93">
        <f t="shared" si="10"/>
        <v>11120.572963790148</v>
      </c>
      <c r="T3" s="137">
        <f>epargne_mensuelle!K3</f>
        <v>0</v>
      </c>
      <c r="U3" s="93">
        <f t="shared" si="11"/>
        <v>161725.61449305157</v>
      </c>
      <c r="V3" s="93">
        <f t="shared" si="12"/>
        <v>0</v>
      </c>
      <c r="W3" s="137">
        <f>epargne_mensuelle!L3</f>
        <v>0</v>
      </c>
      <c r="X3" s="93">
        <f t="shared" si="13"/>
        <v>161725.61449305157</v>
      </c>
      <c r="Y3" s="93">
        <f t="shared" si="14"/>
        <v>0</v>
      </c>
      <c r="Z3" s="137">
        <f>epargne_mensuelle!M3</f>
        <v>0</v>
      </c>
      <c r="AA3" s="93">
        <f t="shared" si="15"/>
        <v>161725.61449305157</v>
      </c>
      <c r="AB3" s="93">
        <f t="shared" si="16"/>
        <v>0</v>
      </c>
      <c r="AC3" s="137">
        <f>epargne_mensuelle!N3</f>
        <v>0</v>
      </c>
      <c r="AD3" s="93">
        <f t="shared" si="17"/>
        <v>161725.61449305157</v>
      </c>
      <c r="AE3" s="93">
        <f t="shared" si="18"/>
        <v>0</v>
      </c>
      <c r="AF3" s="137">
        <f>epargne_mensuelle!O3</f>
        <v>0</v>
      </c>
      <c r="AG3" s="93">
        <f t="shared" si="19"/>
        <v>161725.61449305157</v>
      </c>
      <c r="AH3" s="93">
        <f t="shared" si="20"/>
        <v>0</v>
      </c>
      <c r="AI3" s="137">
        <f>epargne_mensuelle!P3</f>
        <v>0</v>
      </c>
      <c r="AJ3" s="93">
        <f t="shared" si="21"/>
        <v>161725.61449305157</v>
      </c>
      <c r="AK3" s="93">
        <f t="shared" si="22"/>
        <v>0</v>
      </c>
      <c r="AL3" s="137">
        <f>epargne_mensuelle!Q3</f>
        <v>0</v>
      </c>
      <c r="AM3" s="93">
        <f t="shared" si="23"/>
        <v>161725.61449305157</v>
      </c>
      <c r="AN3" s="93">
        <f t="shared" si="24"/>
        <v>0</v>
      </c>
      <c r="AO3" s="137">
        <f>epargne_mensuelle!R3</f>
        <v>0</v>
      </c>
      <c r="AP3" s="93">
        <f t="shared" si="25"/>
        <v>161725.61449305157</v>
      </c>
      <c r="AQ3" s="93">
        <f t="shared" si="26"/>
        <v>0</v>
      </c>
      <c r="AR3" s="137">
        <f>epargne_mensuelle!S3</f>
        <v>0</v>
      </c>
      <c r="AS3" s="93">
        <f t="shared" si="27"/>
        <v>161725.61449305157</v>
      </c>
      <c r="AT3" s="93">
        <f t="shared" si="28"/>
        <v>0</v>
      </c>
      <c r="AU3" s="137">
        <f>epargne_mensuelle!T3</f>
        <v>0</v>
      </c>
      <c r="AV3" s="93">
        <f t="shared" si="29"/>
        <v>161725.61449305157</v>
      </c>
      <c r="AW3" s="93">
        <f t="shared" si="30"/>
        <v>0</v>
      </c>
      <c r="AX3" s="137">
        <f>epargne_mensuelle!U3</f>
        <v>0</v>
      </c>
      <c r="AY3" s="93">
        <f t="shared" si="31"/>
        <v>161725.61449305157</v>
      </c>
      <c r="AZ3" s="93">
        <f t="shared" si="32"/>
        <v>0</v>
      </c>
      <c r="BA3" s="137">
        <f>epargne_mensuelle!V3</f>
        <v>0</v>
      </c>
      <c r="BB3" s="93">
        <f t="shared" si="33"/>
        <v>161725.61449305157</v>
      </c>
      <c r="BC3" s="93">
        <f t="shared" si="34"/>
        <v>0</v>
      </c>
      <c r="BD3" s="137">
        <f>epargne_mensuelle!W3</f>
        <v>0</v>
      </c>
      <c r="BE3" s="93">
        <f t="shared" si="35"/>
        <v>161725.61449305157</v>
      </c>
      <c r="BF3" s="93">
        <f t="shared" si="36"/>
        <v>0</v>
      </c>
      <c r="BG3" s="137">
        <f>epargne_mensuelle!X3</f>
        <v>0</v>
      </c>
      <c r="BH3" s="93">
        <f t="shared" si="37"/>
        <v>161725.61449305157</v>
      </c>
      <c r="BI3" s="93">
        <f t="shared" si="38"/>
        <v>0</v>
      </c>
      <c r="BJ3" s="137">
        <f>epargne_mensuelle!Y3</f>
        <v>0</v>
      </c>
      <c r="BK3" s="93">
        <f t="shared" si="39"/>
        <v>161725.61449305157</v>
      </c>
      <c r="BL3" s="93">
        <f t="shared" si="40"/>
        <v>0</v>
      </c>
      <c r="BM3" s="137">
        <f>epargne_mensuelle!Z3</f>
        <v>0</v>
      </c>
      <c r="BN3" s="93">
        <f t="shared" si="41"/>
        <v>161725.61449305157</v>
      </c>
      <c r="BO3" s="93">
        <f t="shared" si="42"/>
        <v>0</v>
      </c>
      <c r="BP3" s="137">
        <f>epargne_mensuelle!AA3</f>
        <v>0</v>
      </c>
      <c r="BQ3" s="93">
        <f t="shared" si="43"/>
        <v>161725.61449305157</v>
      </c>
      <c r="BR3" s="93">
        <f t="shared" si="44"/>
        <v>0</v>
      </c>
      <c r="BS3" s="137">
        <f>epargne_mensuelle!AB3</f>
        <v>0</v>
      </c>
      <c r="BT3" s="93">
        <f t="shared" si="45"/>
        <v>161725.61449305157</v>
      </c>
      <c r="BU3" s="93">
        <f t="shared" si="46"/>
        <v>0</v>
      </c>
      <c r="BV3" s="94">
        <f>cumul_epargne!C3</f>
        <v>570897.46969589533</v>
      </c>
      <c r="BW3" s="95">
        <f t="shared" ref="BW3:BW28" si="50">D3+G3+J3+M3+P3+S3+V3+Y3+AB3+AE3+AH3+AK3+AN3+AQ3+AT3+AW3+AZ3+BC3+BF3+BI3+BL3+BO3+BR3+BU3</f>
        <v>86449.042937779741</v>
      </c>
      <c r="BX3" s="134">
        <f>IF(BV3="",BW3,BV3+BW3)</f>
        <v>657346.51263367501</v>
      </c>
      <c r="BY3" s="135"/>
      <c r="BZ3" s="135">
        <f t="shared" ref="BZ3:BZ28" si="51">BX3+BY3</f>
        <v>657346.51263367501</v>
      </c>
      <c r="CA3" s="96">
        <f t="shared" ref="CA3:CA28" si="52">IF(BV3="","",BW3/BV3)</f>
        <v>0.15142656523566178</v>
      </c>
      <c r="CB3" s="113">
        <f t="shared" si="47"/>
        <v>1.4489593038404471E-2</v>
      </c>
      <c r="CC3" s="119">
        <f t="shared" si="48"/>
        <v>62722.593523632589</v>
      </c>
      <c r="CD3" s="8" t="str">
        <f t="shared" si="49"/>
        <v>ACTIONNIRE2</v>
      </c>
    </row>
    <row r="4" spans="1:82" ht="18.5" thickBot="1" x14ac:dyDescent="0.45">
      <c r="A4" s="81">
        <f>epargne_mensuelle!A4</f>
        <v>3</v>
      </c>
      <c r="B4" s="81" t="str">
        <f>epargne_mensuelle!B4</f>
        <v>ACTIONNIRE3</v>
      </c>
      <c r="C4" s="146">
        <f>SUM(epargne_mensuelle!C4:E4)</f>
        <v>4008079.7542285733</v>
      </c>
      <c r="D4" s="93">
        <f t="shared" si="0"/>
        <v>506621.87199271971</v>
      </c>
      <c r="E4" s="146">
        <f>epargne_mensuelle!F4</f>
        <v>0</v>
      </c>
      <c r="F4" s="93">
        <f t="shared" si="1"/>
        <v>600055.43330058886</v>
      </c>
      <c r="G4" s="93">
        <f t="shared" si="2"/>
        <v>0</v>
      </c>
      <c r="H4" s="146">
        <f>epargne_mensuelle!G4</f>
        <v>0</v>
      </c>
      <c r="I4" s="93">
        <f t="shared" si="3"/>
        <v>683663.5066883713</v>
      </c>
      <c r="J4" s="93">
        <f t="shared" si="4"/>
        <v>64956.88286903892</v>
      </c>
      <c r="K4" s="146">
        <f>epargne_mensuelle!H4</f>
        <v>0</v>
      </c>
      <c r="L4" s="93">
        <f t="shared" si="5"/>
        <v>581794.52374868328</v>
      </c>
      <c r="M4" s="93">
        <f t="shared" si="6"/>
        <v>22513.636311313858</v>
      </c>
      <c r="N4" s="146">
        <f>epargne_mensuelle!I4</f>
        <v>0</v>
      </c>
      <c r="O4" s="93">
        <f t="shared" si="7"/>
        <v>509797.56962500443</v>
      </c>
      <c r="P4" s="93">
        <f t="shared" si="8"/>
        <v>8060.2916997899038</v>
      </c>
      <c r="Q4" s="137">
        <f>epargne_mensuelle!J4</f>
        <v>0</v>
      </c>
      <c r="R4" s="93">
        <f t="shared" si="9"/>
        <v>789013.09340035031</v>
      </c>
      <c r="S4" s="93">
        <f t="shared" si="10"/>
        <v>65566.662264649043</v>
      </c>
      <c r="T4" s="137">
        <f>epargne_mensuelle!K4</f>
        <v>0</v>
      </c>
      <c r="U4" s="93">
        <f t="shared" si="11"/>
        <v>1024519.3084211732</v>
      </c>
      <c r="V4" s="93">
        <f t="shared" si="12"/>
        <v>0</v>
      </c>
      <c r="W4" s="137">
        <f>epargne_mensuelle!L4</f>
        <v>0</v>
      </c>
      <c r="X4" s="93">
        <f t="shared" si="13"/>
        <v>1024519.3084211732</v>
      </c>
      <c r="Y4" s="93">
        <f t="shared" si="14"/>
        <v>0</v>
      </c>
      <c r="Z4" s="137">
        <f>epargne_mensuelle!M4</f>
        <v>0</v>
      </c>
      <c r="AA4" s="93">
        <f t="shared" si="15"/>
        <v>1024519.3084211732</v>
      </c>
      <c r="AB4" s="93">
        <f t="shared" si="16"/>
        <v>0</v>
      </c>
      <c r="AC4" s="137">
        <f>epargne_mensuelle!N4</f>
        <v>0</v>
      </c>
      <c r="AD4" s="93">
        <f t="shared" si="17"/>
        <v>1024519.3084211732</v>
      </c>
      <c r="AE4" s="93">
        <f t="shared" si="18"/>
        <v>0</v>
      </c>
      <c r="AF4" s="137">
        <f>epargne_mensuelle!O4</f>
        <v>0</v>
      </c>
      <c r="AG4" s="93">
        <f t="shared" si="19"/>
        <v>1024519.3084211732</v>
      </c>
      <c r="AH4" s="93">
        <f t="shared" si="20"/>
        <v>0</v>
      </c>
      <c r="AI4" s="137">
        <f>epargne_mensuelle!P4</f>
        <v>0</v>
      </c>
      <c r="AJ4" s="93">
        <f t="shared" si="21"/>
        <v>1024519.3084211732</v>
      </c>
      <c r="AK4" s="93">
        <f t="shared" si="22"/>
        <v>0</v>
      </c>
      <c r="AL4" s="137">
        <f>epargne_mensuelle!Q4</f>
        <v>0</v>
      </c>
      <c r="AM4" s="93">
        <f t="shared" si="23"/>
        <v>1024519.3084211732</v>
      </c>
      <c r="AN4" s="93">
        <f t="shared" si="24"/>
        <v>0</v>
      </c>
      <c r="AO4" s="137">
        <f>epargne_mensuelle!R4</f>
        <v>0</v>
      </c>
      <c r="AP4" s="93">
        <f t="shared" si="25"/>
        <v>1024519.3084211732</v>
      </c>
      <c r="AQ4" s="93">
        <f t="shared" si="26"/>
        <v>0</v>
      </c>
      <c r="AR4" s="137">
        <f>epargne_mensuelle!S4</f>
        <v>0</v>
      </c>
      <c r="AS4" s="93">
        <f t="shared" si="27"/>
        <v>1024519.3084211732</v>
      </c>
      <c r="AT4" s="93">
        <f t="shared" si="28"/>
        <v>0</v>
      </c>
      <c r="AU4" s="137">
        <f>epargne_mensuelle!T4</f>
        <v>0</v>
      </c>
      <c r="AV4" s="93">
        <f t="shared" si="29"/>
        <v>1024519.3084211732</v>
      </c>
      <c r="AW4" s="93">
        <f t="shared" si="30"/>
        <v>0</v>
      </c>
      <c r="AX4" s="137">
        <f>epargne_mensuelle!U4</f>
        <v>0</v>
      </c>
      <c r="AY4" s="93">
        <f t="shared" si="31"/>
        <v>1024519.3084211732</v>
      </c>
      <c r="AZ4" s="93">
        <f t="shared" si="32"/>
        <v>0</v>
      </c>
      <c r="BA4" s="137">
        <f>epargne_mensuelle!V4</f>
        <v>0</v>
      </c>
      <c r="BB4" s="93">
        <f t="shared" si="33"/>
        <v>1024519.3084211732</v>
      </c>
      <c r="BC4" s="93">
        <f t="shared" si="34"/>
        <v>0</v>
      </c>
      <c r="BD4" s="137">
        <f>epargne_mensuelle!W4</f>
        <v>0</v>
      </c>
      <c r="BE4" s="93">
        <f t="shared" si="35"/>
        <v>1024519.3084211732</v>
      </c>
      <c r="BF4" s="93">
        <f t="shared" si="36"/>
        <v>0</v>
      </c>
      <c r="BG4" s="137">
        <f>epargne_mensuelle!X4</f>
        <v>0</v>
      </c>
      <c r="BH4" s="93">
        <f t="shared" si="37"/>
        <v>1024519.3084211732</v>
      </c>
      <c r="BI4" s="93">
        <f t="shared" si="38"/>
        <v>0</v>
      </c>
      <c r="BJ4" s="137">
        <f>epargne_mensuelle!Y4</f>
        <v>0</v>
      </c>
      <c r="BK4" s="93">
        <f t="shared" si="39"/>
        <v>1024519.3084211732</v>
      </c>
      <c r="BL4" s="93">
        <f t="shared" si="40"/>
        <v>0</v>
      </c>
      <c r="BM4" s="137">
        <f>epargne_mensuelle!Z4</f>
        <v>0</v>
      </c>
      <c r="BN4" s="93">
        <f t="shared" si="41"/>
        <v>1024519.3084211732</v>
      </c>
      <c r="BO4" s="93">
        <f t="shared" si="42"/>
        <v>0</v>
      </c>
      <c r="BP4" s="137">
        <f>epargne_mensuelle!AA4</f>
        <v>0</v>
      </c>
      <c r="BQ4" s="93">
        <f t="shared" si="43"/>
        <v>1024519.3084211732</v>
      </c>
      <c r="BR4" s="93">
        <f t="shared" si="44"/>
        <v>0</v>
      </c>
      <c r="BS4" s="137">
        <f>epargne_mensuelle!AB4</f>
        <v>0</v>
      </c>
      <c r="BT4" s="93">
        <f t="shared" si="45"/>
        <v>1024519.3084211732</v>
      </c>
      <c r="BU4" s="93">
        <f t="shared" si="46"/>
        <v>0</v>
      </c>
      <c r="BV4" s="94">
        <f>cumul_epargne!C4</f>
        <v>4008079.7542285733</v>
      </c>
      <c r="BW4" s="95">
        <f t="shared" si="50"/>
        <v>667719.3451375115</v>
      </c>
      <c r="BX4" s="134">
        <f t="shared" ref="BX4:BX28" si="53">IF(BV4="",BW4,BV4+BW4)</f>
        <v>4675799.0993660847</v>
      </c>
      <c r="BY4" s="135"/>
      <c r="BZ4" s="135">
        <f t="shared" si="51"/>
        <v>4675799.0993660847</v>
      </c>
      <c r="CA4" s="96">
        <f t="shared" si="52"/>
        <v>0.16659332799779231</v>
      </c>
      <c r="CB4" s="113">
        <f t="shared" si="47"/>
        <v>0.10306653306443957</v>
      </c>
      <c r="CC4" s="119">
        <f t="shared" si="48"/>
        <v>446154.71546761494</v>
      </c>
      <c r="CD4" s="8" t="str">
        <f t="shared" si="49"/>
        <v>ACTIONNIRE3</v>
      </c>
    </row>
    <row r="5" spans="1:82" ht="18.5" thickBot="1" x14ac:dyDescent="0.45">
      <c r="A5" s="81">
        <f>epargne_mensuelle!A5</f>
        <v>4</v>
      </c>
      <c r="B5" s="81" t="str">
        <f>epargne_mensuelle!B5</f>
        <v>ACTIONNIRE4</v>
      </c>
      <c r="C5" s="146">
        <f>SUM(epargne_mensuelle!C5:E5)</f>
        <v>372369.7659119484</v>
      </c>
      <c r="D5" s="93">
        <f t="shared" si="0"/>
        <v>47067.593323404646</v>
      </c>
      <c r="E5" s="146">
        <f>epargne_mensuelle!F5</f>
        <v>0</v>
      </c>
      <c r="F5" s="93">
        <f t="shared" si="1"/>
        <v>55748.01773757083</v>
      </c>
      <c r="G5" s="93">
        <f t="shared" si="2"/>
        <v>0</v>
      </c>
      <c r="H5" s="146">
        <f>epargne_mensuelle!G5</f>
        <v>0</v>
      </c>
      <c r="I5" s="93">
        <f t="shared" si="3"/>
        <v>63515.607362730283</v>
      </c>
      <c r="J5" s="93">
        <f t="shared" si="4"/>
        <v>6034.8048820124541</v>
      </c>
      <c r="K5" s="146">
        <f>epargne_mensuelle!H5</f>
        <v>0</v>
      </c>
      <c r="L5" s="93">
        <f t="shared" si="5"/>
        <v>54051.4919616033</v>
      </c>
      <c r="M5" s="93">
        <f t="shared" si="6"/>
        <v>2091.6244179587729</v>
      </c>
      <c r="N5" s="146">
        <f>epargne_mensuelle!I5</f>
        <v>0</v>
      </c>
      <c r="O5" s="93">
        <f t="shared" si="7"/>
        <v>47362.630811791292</v>
      </c>
      <c r="P5" s="93">
        <f t="shared" si="8"/>
        <v>748.83962332991587</v>
      </c>
      <c r="Q5" s="137">
        <f>epargne_mensuelle!J5</f>
        <v>0</v>
      </c>
      <c r="R5" s="93">
        <f t="shared" si="9"/>
        <v>73303.087489959056</v>
      </c>
      <c r="S5" s="93">
        <f t="shared" si="10"/>
        <v>6091.4563023245664</v>
      </c>
      <c r="T5" s="137">
        <f>epargne_mensuelle!K5</f>
        <v>0</v>
      </c>
      <c r="U5" s="93">
        <f t="shared" si="11"/>
        <v>95182.740474806254</v>
      </c>
      <c r="V5" s="93">
        <f t="shared" si="12"/>
        <v>0</v>
      </c>
      <c r="W5" s="137">
        <f>epargne_mensuelle!L5</f>
        <v>0</v>
      </c>
      <c r="X5" s="93">
        <f t="shared" si="13"/>
        <v>95182.740474806254</v>
      </c>
      <c r="Y5" s="93">
        <f t="shared" si="14"/>
        <v>0</v>
      </c>
      <c r="Z5" s="137">
        <f>epargne_mensuelle!M5</f>
        <v>0</v>
      </c>
      <c r="AA5" s="93">
        <f t="shared" si="15"/>
        <v>95182.740474806254</v>
      </c>
      <c r="AB5" s="93">
        <f t="shared" si="16"/>
        <v>0</v>
      </c>
      <c r="AC5" s="137">
        <f>epargne_mensuelle!N5</f>
        <v>0</v>
      </c>
      <c r="AD5" s="93">
        <f t="shared" si="17"/>
        <v>95182.740474806254</v>
      </c>
      <c r="AE5" s="93">
        <f t="shared" si="18"/>
        <v>0</v>
      </c>
      <c r="AF5" s="137">
        <f>epargne_mensuelle!O5</f>
        <v>0</v>
      </c>
      <c r="AG5" s="93">
        <f t="shared" si="19"/>
        <v>95182.740474806254</v>
      </c>
      <c r="AH5" s="93">
        <f t="shared" si="20"/>
        <v>0</v>
      </c>
      <c r="AI5" s="137">
        <f>epargne_mensuelle!P5</f>
        <v>0</v>
      </c>
      <c r="AJ5" s="93">
        <f t="shared" si="21"/>
        <v>95182.740474806254</v>
      </c>
      <c r="AK5" s="93">
        <f t="shared" si="22"/>
        <v>0</v>
      </c>
      <c r="AL5" s="137">
        <f>epargne_mensuelle!Q5</f>
        <v>0</v>
      </c>
      <c r="AM5" s="93">
        <f t="shared" si="23"/>
        <v>95182.740474806254</v>
      </c>
      <c r="AN5" s="93">
        <f t="shared" si="24"/>
        <v>0</v>
      </c>
      <c r="AO5" s="137">
        <f>epargne_mensuelle!R5</f>
        <v>0</v>
      </c>
      <c r="AP5" s="93">
        <f t="shared" si="25"/>
        <v>95182.740474806254</v>
      </c>
      <c r="AQ5" s="93">
        <f t="shared" si="26"/>
        <v>0</v>
      </c>
      <c r="AR5" s="137">
        <f>epargne_mensuelle!S5</f>
        <v>0</v>
      </c>
      <c r="AS5" s="93">
        <f t="shared" si="27"/>
        <v>95182.740474806254</v>
      </c>
      <c r="AT5" s="93">
        <f t="shared" si="28"/>
        <v>0</v>
      </c>
      <c r="AU5" s="137">
        <f>epargne_mensuelle!T5</f>
        <v>0</v>
      </c>
      <c r="AV5" s="93">
        <f t="shared" si="29"/>
        <v>95182.740474806254</v>
      </c>
      <c r="AW5" s="93">
        <f t="shared" si="30"/>
        <v>0</v>
      </c>
      <c r="AX5" s="137">
        <f>epargne_mensuelle!U5</f>
        <v>0</v>
      </c>
      <c r="AY5" s="93">
        <f t="shared" si="31"/>
        <v>95182.740474806254</v>
      </c>
      <c r="AZ5" s="93">
        <f t="shared" si="32"/>
        <v>0</v>
      </c>
      <c r="BA5" s="137">
        <f>epargne_mensuelle!V5</f>
        <v>0</v>
      </c>
      <c r="BB5" s="93">
        <f t="shared" si="33"/>
        <v>95182.740474806254</v>
      </c>
      <c r="BC5" s="93">
        <f t="shared" si="34"/>
        <v>0</v>
      </c>
      <c r="BD5" s="137">
        <f>epargne_mensuelle!W5</f>
        <v>0</v>
      </c>
      <c r="BE5" s="93">
        <f t="shared" si="35"/>
        <v>95182.740474806254</v>
      </c>
      <c r="BF5" s="93">
        <f t="shared" si="36"/>
        <v>0</v>
      </c>
      <c r="BG5" s="137">
        <f>epargne_mensuelle!X5</f>
        <v>0</v>
      </c>
      <c r="BH5" s="93">
        <f t="shared" si="37"/>
        <v>95182.740474806254</v>
      </c>
      <c r="BI5" s="93">
        <f t="shared" si="38"/>
        <v>0</v>
      </c>
      <c r="BJ5" s="137">
        <f>epargne_mensuelle!Y5</f>
        <v>0</v>
      </c>
      <c r="BK5" s="93">
        <f t="shared" si="39"/>
        <v>95182.740474806254</v>
      </c>
      <c r="BL5" s="93">
        <f t="shared" si="40"/>
        <v>0</v>
      </c>
      <c r="BM5" s="137">
        <f>epargne_mensuelle!Z5</f>
        <v>0</v>
      </c>
      <c r="BN5" s="93">
        <f t="shared" si="41"/>
        <v>95182.740474806254</v>
      </c>
      <c r="BO5" s="93">
        <f t="shared" si="42"/>
        <v>0</v>
      </c>
      <c r="BP5" s="137">
        <f>epargne_mensuelle!AA5</f>
        <v>0</v>
      </c>
      <c r="BQ5" s="93">
        <f t="shared" si="43"/>
        <v>95182.740474806254</v>
      </c>
      <c r="BR5" s="93">
        <f t="shared" si="44"/>
        <v>0</v>
      </c>
      <c r="BS5" s="137">
        <f>epargne_mensuelle!AB5</f>
        <v>0</v>
      </c>
      <c r="BT5" s="93">
        <f t="shared" si="45"/>
        <v>95182.740474806254</v>
      </c>
      <c r="BU5" s="93">
        <f t="shared" si="46"/>
        <v>0</v>
      </c>
      <c r="BV5" s="94">
        <f>cumul_epargne!C5</f>
        <v>372369.7659119484</v>
      </c>
      <c r="BW5" s="95">
        <f t="shared" si="50"/>
        <v>62034.318549030351</v>
      </c>
      <c r="BX5" s="134">
        <f t="shared" si="53"/>
        <v>434404.08446097875</v>
      </c>
      <c r="BY5" s="135"/>
      <c r="BZ5" s="135">
        <f t="shared" si="51"/>
        <v>434404.08446097875</v>
      </c>
      <c r="CA5" s="96">
        <f t="shared" si="52"/>
        <v>0.16659332799779228</v>
      </c>
      <c r="CB5" s="113">
        <f t="shared" si="47"/>
        <v>9.5753735314451482E-3</v>
      </c>
      <c r="CC5" s="119">
        <f t="shared" si="48"/>
        <v>41449.90547753292</v>
      </c>
      <c r="CD5" s="8" t="str">
        <f t="shared" si="49"/>
        <v>ACTIONNIRE4</v>
      </c>
    </row>
    <row r="6" spans="1:82" ht="18.5" thickBot="1" x14ac:dyDescent="0.45">
      <c r="A6" s="81">
        <f>epargne_mensuelle!A6</f>
        <v>5</v>
      </c>
      <c r="B6" s="81" t="str">
        <f>epargne_mensuelle!B6</f>
        <v>ACTIONNIRE5</v>
      </c>
      <c r="C6" s="146">
        <f>SUM(epargne_mensuelle!C6:E6)</f>
        <v>1393753.828487773</v>
      </c>
      <c r="D6" s="93">
        <f t="shared" si="0"/>
        <v>176170.68945310902</v>
      </c>
      <c r="E6" s="146">
        <f>epargne_mensuelle!F6</f>
        <v>0</v>
      </c>
      <c r="F6" s="93">
        <f t="shared" si="1"/>
        <v>208660.90715516539</v>
      </c>
      <c r="G6" s="93">
        <f t="shared" si="2"/>
        <v>0</v>
      </c>
      <c r="H6" s="146">
        <f>epargne_mensuelle!G6</f>
        <v>0</v>
      </c>
      <c r="I6" s="93">
        <f t="shared" si="3"/>
        <v>237734.44848222326</v>
      </c>
      <c r="J6" s="93">
        <f t="shared" si="4"/>
        <v>22587.849977246726</v>
      </c>
      <c r="K6" s="146">
        <f>epargne_mensuelle!H6</f>
        <v>0</v>
      </c>
      <c r="L6" s="93">
        <f t="shared" si="5"/>
        <v>202310.93056780158</v>
      </c>
      <c r="M6" s="93">
        <f t="shared" si="6"/>
        <v>7828.8029994838234</v>
      </c>
      <c r="N6" s="146">
        <f>epargne_mensuelle!I6</f>
        <v>0</v>
      </c>
      <c r="O6" s="93">
        <f t="shared" si="7"/>
        <v>177274.9940090368</v>
      </c>
      <c r="P6" s="93">
        <f t="shared" si="8"/>
        <v>2802.8540109408564</v>
      </c>
      <c r="Q6" s="137">
        <f>epargne_mensuelle!J6</f>
        <v>0</v>
      </c>
      <c r="R6" s="93">
        <f t="shared" si="9"/>
        <v>274368.29780982592</v>
      </c>
      <c r="S6" s="93">
        <f t="shared" si="10"/>
        <v>22799.892256661904</v>
      </c>
      <c r="T6" s="137">
        <f>epargne_mensuelle!K6</f>
        <v>0</v>
      </c>
      <c r="U6" s="93">
        <f t="shared" si="11"/>
        <v>356262.29916337726</v>
      </c>
      <c r="V6" s="93">
        <f t="shared" si="12"/>
        <v>0</v>
      </c>
      <c r="W6" s="137">
        <f>epargne_mensuelle!L6</f>
        <v>0</v>
      </c>
      <c r="X6" s="93">
        <f t="shared" si="13"/>
        <v>356262.29916337726</v>
      </c>
      <c r="Y6" s="93">
        <f t="shared" si="14"/>
        <v>0</v>
      </c>
      <c r="Z6" s="137">
        <f>epargne_mensuelle!M6</f>
        <v>0</v>
      </c>
      <c r="AA6" s="93">
        <f t="shared" si="15"/>
        <v>356262.29916337726</v>
      </c>
      <c r="AB6" s="93">
        <f t="shared" si="16"/>
        <v>0</v>
      </c>
      <c r="AC6" s="137">
        <f>epargne_mensuelle!N6</f>
        <v>0</v>
      </c>
      <c r="AD6" s="93">
        <f t="shared" si="17"/>
        <v>356262.29916337726</v>
      </c>
      <c r="AE6" s="93">
        <f t="shared" si="18"/>
        <v>0</v>
      </c>
      <c r="AF6" s="137">
        <f>epargne_mensuelle!O6</f>
        <v>0</v>
      </c>
      <c r="AG6" s="93">
        <f t="shared" si="19"/>
        <v>356262.29916337726</v>
      </c>
      <c r="AH6" s="93">
        <f t="shared" si="20"/>
        <v>0</v>
      </c>
      <c r="AI6" s="137">
        <f>epargne_mensuelle!P6</f>
        <v>0</v>
      </c>
      <c r="AJ6" s="93">
        <f t="shared" si="21"/>
        <v>356262.29916337726</v>
      </c>
      <c r="AK6" s="93">
        <f t="shared" si="22"/>
        <v>0</v>
      </c>
      <c r="AL6" s="137">
        <f>epargne_mensuelle!Q6</f>
        <v>0</v>
      </c>
      <c r="AM6" s="93">
        <f t="shared" si="23"/>
        <v>356262.29916337726</v>
      </c>
      <c r="AN6" s="93">
        <f t="shared" si="24"/>
        <v>0</v>
      </c>
      <c r="AO6" s="137">
        <f>epargne_mensuelle!R6</f>
        <v>0</v>
      </c>
      <c r="AP6" s="93">
        <f t="shared" si="25"/>
        <v>356262.29916337726</v>
      </c>
      <c r="AQ6" s="93">
        <f t="shared" si="26"/>
        <v>0</v>
      </c>
      <c r="AR6" s="137">
        <f>epargne_mensuelle!S6</f>
        <v>0</v>
      </c>
      <c r="AS6" s="93">
        <f t="shared" si="27"/>
        <v>356262.29916337726</v>
      </c>
      <c r="AT6" s="93">
        <f t="shared" si="28"/>
        <v>0</v>
      </c>
      <c r="AU6" s="137">
        <f>epargne_mensuelle!T6</f>
        <v>0</v>
      </c>
      <c r="AV6" s="93">
        <f t="shared" si="29"/>
        <v>356262.29916337726</v>
      </c>
      <c r="AW6" s="93">
        <f t="shared" si="30"/>
        <v>0</v>
      </c>
      <c r="AX6" s="137">
        <f>epargne_mensuelle!U6</f>
        <v>0</v>
      </c>
      <c r="AY6" s="93">
        <f t="shared" si="31"/>
        <v>356262.29916337726</v>
      </c>
      <c r="AZ6" s="93">
        <f t="shared" si="32"/>
        <v>0</v>
      </c>
      <c r="BA6" s="137">
        <f>epargne_mensuelle!V6</f>
        <v>0</v>
      </c>
      <c r="BB6" s="93">
        <f t="shared" si="33"/>
        <v>356262.29916337726</v>
      </c>
      <c r="BC6" s="93">
        <f t="shared" si="34"/>
        <v>0</v>
      </c>
      <c r="BD6" s="137">
        <f>epargne_mensuelle!W6</f>
        <v>0</v>
      </c>
      <c r="BE6" s="93">
        <f t="shared" si="35"/>
        <v>356262.29916337726</v>
      </c>
      <c r="BF6" s="93">
        <f t="shared" si="36"/>
        <v>0</v>
      </c>
      <c r="BG6" s="137">
        <f>epargne_mensuelle!X6</f>
        <v>0</v>
      </c>
      <c r="BH6" s="93">
        <f t="shared" si="37"/>
        <v>356262.29916337726</v>
      </c>
      <c r="BI6" s="93">
        <f t="shared" si="38"/>
        <v>0</v>
      </c>
      <c r="BJ6" s="137">
        <f>epargne_mensuelle!Y6</f>
        <v>0</v>
      </c>
      <c r="BK6" s="93">
        <f t="shared" si="39"/>
        <v>356262.29916337726</v>
      </c>
      <c r="BL6" s="93">
        <f t="shared" si="40"/>
        <v>0</v>
      </c>
      <c r="BM6" s="137">
        <f>epargne_mensuelle!Z6</f>
        <v>0</v>
      </c>
      <c r="BN6" s="93">
        <f t="shared" si="41"/>
        <v>356262.29916337726</v>
      </c>
      <c r="BO6" s="93">
        <f t="shared" si="42"/>
        <v>0</v>
      </c>
      <c r="BP6" s="137">
        <f>epargne_mensuelle!AA6</f>
        <v>0</v>
      </c>
      <c r="BQ6" s="93">
        <f t="shared" si="43"/>
        <v>356262.29916337726</v>
      </c>
      <c r="BR6" s="93">
        <f t="shared" si="44"/>
        <v>0</v>
      </c>
      <c r="BS6" s="137">
        <f>epargne_mensuelle!AB6</f>
        <v>0</v>
      </c>
      <c r="BT6" s="93">
        <f t="shared" si="45"/>
        <v>356262.29916337726</v>
      </c>
      <c r="BU6" s="93">
        <f t="shared" si="46"/>
        <v>0</v>
      </c>
      <c r="BV6" s="94">
        <f>cumul_epargne!C6</f>
        <v>1393753.828487773</v>
      </c>
      <c r="BW6" s="95">
        <f t="shared" si="50"/>
        <v>232190.08869744232</v>
      </c>
      <c r="BX6" s="134">
        <f t="shared" si="53"/>
        <v>1625943.9171852153</v>
      </c>
      <c r="BY6" s="135"/>
      <c r="BZ6" s="135">
        <f t="shared" si="51"/>
        <v>1625943.9171852153</v>
      </c>
      <c r="CA6" s="96">
        <f t="shared" si="52"/>
        <v>0.16659332799779231</v>
      </c>
      <c r="CB6" s="113">
        <f t="shared" si="47"/>
        <v>3.5839949266471667E-2</v>
      </c>
      <c r="CC6" s="119">
        <f t="shared" si="48"/>
        <v>155144.07918775151</v>
      </c>
      <c r="CD6" s="8" t="str">
        <f t="shared" si="49"/>
        <v>ACTIONNIRE5</v>
      </c>
    </row>
    <row r="7" spans="1:82" ht="18.5" thickBot="1" x14ac:dyDescent="0.45">
      <c r="A7" s="81">
        <f>epargne_mensuelle!A7</f>
        <v>6</v>
      </c>
      <c r="B7" s="81" t="str">
        <f>epargne_mensuelle!B7</f>
        <v>ACTIONNIRE6</v>
      </c>
      <c r="C7" s="146">
        <f>SUM(epargne_mensuelle!C7:E7)</f>
        <v>829601.83269567683</v>
      </c>
      <c r="D7" s="93">
        <f t="shared" si="0"/>
        <v>104861.79399136433</v>
      </c>
      <c r="E7" s="146">
        <f>epargne_mensuelle!F7</f>
        <v>0</v>
      </c>
      <c r="F7" s="93">
        <f t="shared" si="1"/>
        <v>124200.89362243221</v>
      </c>
      <c r="G7" s="93">
        <f t="shared" si="2"/>
        <v>0</v>
      </c>
      <c r="H7" s="146">
        <f>epargne_mensuelle!G7</f>
        <v>0</v>
      </c>
      <c r="I7" s="93">
        <f t="shared" si="3"/>
        <v>141506.29051167369</v>
      </c>
      <c r="J7" s="93">
        <f t="shared" si="4"/>
        <v>13444.929337421556</v>
      </c>
      <c r="K7" s="146">
        <f>epargne_mensuelle!H7</f>
        <v>0</v>
      </c>
      <c r="L7" s="93">
        <f t="shared" si="5"/>
        <v>120421.2073487326</v>
      </c>
      <c r="M7" s="93">
        <f t="shared" si="6"/>
        <v>4659.9257224872035</v>
      </c>
      <c r="N7" s="146">
        <f>epargne_mensuelle!I7</f>
        <v>0</v>
      </c>
      <c r="O7" s="93">
        <f t="shared" si="7"/>
        <v>105519.10740261851</v>
      </c>
      <c r="P7" s="93">
        <f t="shared" si="8"/>
        <v>1668.3382507927308</v>
      </c>
      <c r="Q7" s="137">
        <f>epargne_mensuelle!J7</f>
        <v>0</v>
      </c>
      <c r="R7" s="93">
        <f t="shared" si="9"/>
        <v>163311.79728029115</v>
      </c>
      <c r="S7" s="93">
        <f t="shared" si="10"/>
        <v>13571.14291977468</v>
      </c>
      <c r="T7" s="137">
        <f>epargne_mensuelle!K7</f>
        <v>0</v>
      </c>
      <c r="U7" s="93">
        <f t="shared" si="11"/>
        <v>212057.43099338587</v>
      </c>
      <c r="V7" s="93">
        <f t="shared" si="12"/>
        <v>0</v>
      </c>
      <c r="W7" s="137">
        <f>epargne_mensuelle!L7</f>
        <v>0</v>
      </c>
      <c r="X7" s="93">
        <f t="shared" si="13"/>
        <v>212057.43099338587</v>
      </c>
      <c r="Y7" s="93">
        <f t="shared" si="14"/>
        <v>0</v>
      </c>
      <c r="Z7" s="137">
        <f>epargne_mensuelle!M7</f>
        <v>0</v>
      </c>
      <c r="AA7" s="93">
        <f t="shared" si="15"/>
        <v>212057.43099338587</v>
      </c>
      <c r="AB7" s="93">
        <f t="shared" si="16"/>
        <v>0</v>
      </c>
      <c r="AC7" s="137">
        <f>epargne_mensuelle!N7</f>
        <v>0</v>
      </c>
      <c r="AD7" s="93">
        <f t="shared" si="17"/>
        <v>212057.43099338587</v>
      </c>
      <c r="AE7" s="93">
        <f t="shared" si="18"/>
        <v>0</v>
      </c>
      <c r="AF7" s="137">
        <f>epargne_mensuelle!O7</f>
        <v>0</v>
      </c>
      <c r="AG7" s="93">
        <f t="shared" si="19"/>
        <v>212057.43099338587</v>
      </c>
      <c r="AH7" s="93">
        <f t="shared" si="20"/>
        <v>0</v>
      </c>
      <c r="AI7" s="137">
        <f>epargne_mensuelle!P7</f>
        <v>0</v>
      </c>
      <c r="AJ7" s="93">
        <f t="shared" si="21"/>
        <v>212057.43099338587</v>
      </c>
      <c r="AK7" s="93">
        <f t="shared" si="22"/>
        <v>0</v>
      </c>
      <c r="AL7" s="137">
        <f>epargne_mensuelle!Q7</f>
        <v>0</v>
      </c>
      <c r="AM7" s="93">
        <f t="shared" si="23"/>
        <v>212057.43099338587</v>
      </c>
      <c r="AN7" s="93">
        <f t="shared" si="24"/>
        <v>0</v>
      </c>
      <c r="AO7" s="137">
        <f>epargne_mensuelle!R7</f>
        <v>0</v>
      </c>
      <c r="AP7" s="93">
        <f t="shared" si="25"/>
        <v>212057.43099338587</v>
      </c>
      <c r="AQ7" s="93">
        <f t="shared" si="26"/>
        <v>0</v>
      </c>
      <c r="AR7" s="137">
        <f>epargne_mensuelle!S7</f>
        <v>0</v>
      </c>
      <c r="AS7" s="93">
        <f t="shared" si="27"/>
        <v>212057.43099338587</v>
      </c>
      <c r="AT7" s="93">
        <f t="shared" si="28"/>
        <v>0</v>
      </c>
      <c r="AU7" s="137">
        <f>epargne_mensuelle!T7</f>
        <v>0</v>
      </c>
      <c r="AV7" s="93">
        <f t="shared" si="29"/>
        <v>212057.43099338587</v>
      </c>
      <c r="AW7" s="93">
        <f t="shared" si="30"/>
        <v>0</v>
      </c>
      <c r="AX7" s="137">
        <f>epargne_mensuelle!U7</f>
        <v>0</v>
      </c>
      <c r="AY7" s="93">
        <f t="shared" si="31"/>
        <v>212057.43099338587</v>
      </c>
      <c r="AZ7" s="93">
        <f t="shared" si="32"/>
        <v>0</v>
      </c>
      <c r="BA7" s="137">
        <f>epargne_mensuelle!V7</f>
        <v>0</v>
      </c>
      <c r="BB7" s="93">
        <f t="shared" si="33"/>
        <v>212057.43099338587</v>
      </c>
      <c r="BC7" s="93">
        <f t="shared" si="34"/>
        <v>0</v>
      </c>
      <c r="BD7" s="137">
        <f>epargne_mensuelle!W7</f>
        <v>0</v>
      </c>
      <c r="BE7" s="93">
        <f t="shared" si="35"/>
        <v>212057.43099338587</v>
      </c>
      <c r="BF7" s="93">
        <f t="shared" si="36"/>
        <v>0</v>
      </c>
      <c r="BG7" s="137">
        <f>epargne_mensuelle!X7</f>
        <v>0</v>
      </c>
      <c r="BH7" s="93">
        <f t="shared" si="37"/>
        <v>212057.43099338587</v>
      </c>
      <c r="BI7" s="93">
        <f t="shared" si="38"/>
        <v>0</v>
      </c>
      <c r="BJ7" s="137">
        <f>epargne_mensuelle!Y7</f>
        <v>0</v>
      </c>
      <c r="BK7" s="93">
        <f t="shared" si="39"/>
        <v>212057.43099338587</v>
      </c>
      <c r="BL7" s="93">
        <f t="shared" si="40"/>
        <v>0</v>
      </c>
      <c r="BM7" s="137">
        <f>epargne_mensuelle!Z7</f>
        <v>0</v>
      </c>
      <c r="BN7" s="93">
        <f t="shared" si="41"/>
        <v>212057.43099338587</v>
      </c>
      <c r="BO7" s="93">
        <f t="shared" si="42"/>
        <v>0</v>
      </c>
      <c r="BP7" s="137">
        <f>epargne_mensuelle!AA7</f>
        <v>0</v>
      </c>
      <c r="BQ7" s="93">
        <f t="shared" si="43"/>
        <v>212057.43099338587</v>
      </c>
      <c r="BR7" s="93">
        <f t="shared" si="44"/>
        <v>0</v>
      </c>
      <c r="BS7" s="137">
        <f>epargne_mensuelle!AB7</f>
        <v>0</v>
      </c>
      <c r="BT7" s="93">
        <f t="shared" si="45"/>
        <v>212057.43099338587</v>
      </c>
      <c r="BU7" s="93">
        <f t="shared" si="46"/>
        <v>0</v>
      </c>
      <c r="BV7" s="94">
        <f>cumul_epargne!C7</f>
        <v>829601.83269567683</v>
      </c>
      <c r="BW7" s="95">
        <f t="shared" si="50"/>
        <v>138206.13022184049</v>
      </c>
      <c r="BX7" s="134">
        <f t="shared" si="53"/>
        <v>967807.96291751729</v>
      </c>
      <c r="BY7" s="135"/>
      <c r="BZ7" s="135">
        <f t="shared" si="51"/>
        <v>967807.96291751729</v>
      </c>
      <c r="CA7" s="96">
        <f t="shared" si="52"/>
        <v>0.16659332799779228</v>
      </c>
      <c r="CB7" s="113">
        <f t="shared" si="47"/>
        <v>2.133295492177786E-2</v>
      </c>
      <c r="CC7" s="119">
        <f t="shared" si="48"/>
        <v>92346.158837597759</v>
      </c>
      <c r="CD7" s="8" t="str">
        <f t="shared" si="49"/>
        <v>ACTIONNIRE6</v>
      </c>
    </row>
    <row r="8" spans="1:82" ht="18.5" thickBot="1" x14ac:dyDescent="0.45">
      <c r="A8" s="81">
        <f>epargne_mensuelle!A8</f>
        <v>7</v>
      </c>
      <c r="B8" s="81" t="str">
        <f>epargne_mensuelle!B8</f>
        <v>ACTIONNIRE7</v>
      </c>
      <c r="C8" s="146">
        <f>SUM(epargne_mensuelle!C8:E8)</f>
        <v>840018.32008010126</v>
      </c>
      <c r="D8" s="93">
        <f t="shared" si="0"/>
        <v>106178.43953284042</v>
      </c>
      <c r="E8" s="146">
        <f>epargne_mensuelle!F8</f>
        <v>0</v>
      </c>
      <c r="F8" s="93">
        <f t="shared" si="1"/>
        <v>125760.36105676567</v>
      </c>
      <c r="G8" s="93">
        <f t="shared" si="2"/>
        <v>0</v>
      </c>
      <c r="H8" s="146">
        <f>epargne_mensuelle!G8</f>
        <v>0</v>
      </c>
      <c r="I8" s="93">
        <f t="shared" si="3"/>
        <v>143283.04465063449</v>
      </c>
      <c r="J8" s="93">
        <f t="shared" si="4"/>
        <v>13613.743979950317</v>
      </c>
      <c r="K8" s="146">
        <f>epargne_mensuelle!H8</f>
        <v>0</v>
      </c>
      <c r="L8" s="93">
        <f t="shared" si="5"/>
        <v>121933.2170113551</v>
      </c>
      <c r="M8" s="93">
        <f t="shared" si="6"/>
        <v>4718.4357879036661</v>
      </c>
      <c r="N8" s="146">
        <f>epargne_mensuelle!I8</f>
        <v>0</v>
      </c>
      <c r="O8" s="93">
        <f t="shared" si="7"/>
        <v>106844.00617665279</v>
      </c>
      <c r="P8" s="93">
        <f t="shared" si="8"/>
        <v>1689.2859194904568</v>
      </c>
      <c r="Q8" s="137">
        <f>epargne_mensuelle!J8</f>
        <v>0</v>
      </c>
      <c r="R8" s="93">
        <f t="shared" si="9"/>
        <v>165362.3415402649</v>
      </c>
      <c r="S8" s="93">
        <f t="shared" si="10"/>
        <v>13741.542301073912</v>
      </c>
      <c r="T8" s="137">
        <f>epargne_mensuelle!K8</f>
        <v>0</v>
      </c>
      <c r="U8" s="93">
        <f t="shared" si="11"/>
        <v>214720.02582823404</v>
      </c>
      <c r="V8" s="93">
        <f t="shared" si="12"/>
        <v>0</v>
      </c>
      <c r="W8" s="137">
        <f>epargne_mensuelle!L8</f>
        <v>0</v>
      </c>
      <c r="X8" s="93">
        <f t="shared" si="13"/>
        <v>214720.02582823404</v>
      </c>
      <c r="Y8" s="93">
        <f t="shared" si="14"/>
        <v>0</v>
      </c>
      <c r="Z8" s="137">
        <f>epargne_mensuelle!M8</f>
        <v>0</v>
      </c>
      <c r="AA8" s="93">
        <f t="shared" si="15"/>
        <v>214720.02582823404</v>
      </c>
      <c r="AB8" s="93">
        <f t="shared" si="16"/>
        <v>0</v>
      </c>
      <c r="AC8" s="137">
        <f>epargne_mensuelle!N8</f>
        <v>0</v>
      </c>
      <c r="AD8" s="93">
        <f t="shared" si="17"/>
        <v>214720.02582823404</v>
      </c>
      <c r="AE8" s="93">
        <f t="shared" si="18"/>
        <v>0</v>
      </c>
      <c r="AF8" s="137">
        <f>epargne_mensuelle!O8</f>
        <v>0</v>
      </c>
      <c r="AG8" s="93">
        <f t="shared" si="19"/>
        <v>214720.02582823404</v>
      </c>
      <c r="AH8" s="93">
        <f t="shared" si="20"/>
        <v>0</v>
      </c>
      <c r="AI8" s="137">
        <f>epargne_mensuelle!P8</f>
        <v>0</v>
      </c>
      <c r="AJ8" s="93">
        <f t="shared" si="21"/>
        <v>214720.02582823404</v>
      </c>
      <c r="AK8" s="93">
        <f t="shared" si="22"/>
        <v>0</v>
      </c>
      <c r="AL8" s="137">
        <f>epargne_mensuelle!Q8</f>
        <v>0</v>
      </c>
      <c r="AM8" s="93">
        <f t="shared" si="23"/>
        <v>214720.02582823404</v>
      </c>
      <c r="AN8" s="93">
        <f t="shared" si="24"/>
        <v>0</v>
      </c>
      <c r="AO8" s="137">
        <f>epargne_mensuelle!R8</f>
        <v>0</v>
      </c>
      <c r="AP8" s="93">
        <f t="shared" si="25"/>
        <v>214720.02582823404</v>
      </c>
      <c r="AQ8" s="93">
        <f t="shared" si="26"/>
        <v>0</v>
      </c>
      <c r="AR8" s="137">
        <f>epargne_mensuelle!S8</f>
        <v>0</v>
      </c>
      <c r="AS8" s="93">
        <f t="shared" si="27"/>
        <v>214720.02582823404</v>
      </c>
      <c r="AT8" s="93">
        <f t="shared" si="28"/>
        <v>0</v>
      </c>
      <c r="AU8" s="137">
        <f>epargne_mensuelle!T8</f>
        <v>0</v>
      </c>
      <c r="AV8" s="93">
        <f t="shared" si="29"/>
        <v>214720.02582823404</v>
      </c>
      <c r="AW8" s="93">
        <f t="shared" si="30"/>
        <v>0</v>
      </c>
      <c r="AX8" s="137">
        <f>epargne_mensuelle!U8</f>
        <v>0</v>
      </c>
      <c r="AY8" s="93">
        <f t="shared" si="31"/>
        <v>214720.02582823404</v>
      </c>
      <c r="AZ8" s="93">
        <f t="shared" si="32"/>
        <v>0</v>
      </c>
      <c r="BA8" s="137">
        <f>epargne_mensuelle!V8</f>
        <v>0</v>
      </c>
      <c r="BB8" s="93">
        <f t="shared" si="33"/>
        <v>214720.02582823404</v>
      </c>
      <c r="BC8" s="93">
        <f t="shared" si="34"/>
        <v>0</v>
      </c>
      <c r="BD8" s="137">
        <f>epargne_mensuelle!W8</f>
        <v>0</v>
      </c>
      <c r="BE8" s="93">
        <f t="shared" si="35"/>
        <v>214720.02582823404</v>
      </c>
      <c r="BF8" s="93">
        <f t="shared" si="36"/>
        <v>0</v>
      </c>
      <c r="BG8" s="137">
        <f>epargne_mensuelle!X8</f>
        <v>0</v>
      </c>
      <c r="BH8" s="93">
        <f t="shared" si="37"/>
        <v>214720.02582823404</v>
      </c>
      <c r="BI8" s="93">
        <f t="shared" si="38"/>
        <v>0</v>
      </c>
      <c r="BJ8" s="137">
        <f>epargne_mensuelle!Y8</f>
        <v>0</v>
      </c>
      <c r="BK8" s="93">
        <f t="shared" si="39"/>
        <v>214720.02582823404</v>
      </c>
      <c r="BL8" s="93">
        <f t="shared" si="40"/>
        <v>0</v>
      </c>
      <c r="BM8" s="137">
        <f>epargne_mensuelle!Z8</f>
        <v>0</v>
      </c>
      <c r="BN8" s="93">
        <f t="shared" si="41"/>
        <v>214720.02582823404</v>
      </c>
      <c r="BO8" s="93">
        <f t="shared" si="42"/>
        <v>0</v>
      </c>
      <c r="BP8" s="137">
        <f>epargne_mensuelle!AA8</f>
        <v>0</v>
      </c>
      <c r="BQ8" s="93">
        <f t="shared" si="43"/>
        <v>214720.02582823404</v>
      </c>
      <c r="BR8" s="93">
        <f t="shared" si="44"/>
        <v>0</v>
      </c>
      <c r="BS8" s="137">
        <f>epargne_mensuelle!AB8</f>
        <v>0</v>
      </c>
      <c r="BT8" s="93">
        <f t="shared" si="45"/>
        <v>214720.02582823404</v>
      </c>
      <c r="BU8" s="93">
        <f t="shared" si="46"/>
        <v>0</v>
      </c>
      <c r="BV8" s="94">
        <f>cumul_epargne!C8</f>
        <v>840018.32008010126</v>
      </c>
      <c r="BW8" s="95">
        <f t="shared" si="50"/>
        <v>139941.44752125879</v>
      </c>
      <c r="BX8" s="134">
        <f t="shared" si="53"/>
        <v>979959.7676013601</v>
      </c>
      <c r="BY8" s="135"/>
      <c r="BZ8" s="135">
        <f t="shared" si="51"/>
        <v>979959.7676013601</v>
      </c>
      <c r="CA8" s="96">
        <f t="shared" si="52"/>
        <v>0.16659332799779231</v>
      </c>
      <c r="CB8" s="113">
        <f t="shared" si="47"/>
        <v>2.1600811677943817E-2</v>
      </c>
      <c r="CC8" s="119">
        <f t="shared" si="48"/>
        <v>93505.657961902078</v>
      </c>
      <c r="CD8" s="8" t="str">
        <f t="shared" si="49"/>
        <v>ACTIONNIRE7</v>
      </c>
    </row>
    <row r="9" spans="1:82" ht="18.5" thickBot="1" x14ac:dyDescent="0.45">
      <c r="A9" s="81">
        <f>epargne_mensuelle!A9</f>
        <v>8</v>
      </c>
      <c r="B9" s="81" t="str">
        <f>epargne_mensuelle!B9</f>
        <v>ACTIONNIRE8</v>
      </c>
      <c r="C9" s="146">
        <f>SUM(epargne_mensuelle!C9:E9)</f>
        <v>5000758.1962085813</v>
      </c>
      <c r="D9" s="93">
        <f t="shared" si="0"/>
        <v>632096.5734459901</v>
      </c>
      <c r="E9" s="146">
        <f>epargne_mensuelle!F9</f>
        <v>0</v>
      </c>
      <c r="F9" s="93">
        <f t="shared" si="1"/>
        <v>748670.7626243222</v>
      </c>
      <c r="G9" s="93">
        <f t="shared" si="2"/>
        <v>0</v>
      </c>
      <c r="H9" s="146">
        <f>epargne_mensuelle!G9</f>
        <v>1000000</v>
      </c>
      <c r="I9" s="93">
        <f t="shared" si="3"/>
        <v>1852985.9918365295</v>
      </c>
      <c r="J9" s="93">
        <f t="shared" si="4"/>
        <v>176057.65534090437</v>
      </c>
      <c r="K9" s="146">
        <f>epargne_mensuelle!H9</f>
        <v>0</v>
      </c>
      <c r="L9" s="93">
        <f t="shared" si="5"/>
        <v>1154592.3852189265</v>
      </c>
      <c r="M9" s="93">
        <f t="shared" si="6"/>
        <v>44679.129808825623</v>
      </c>
      <c r="N9" s="146">
        <f>epargne_mensuelle!I9</f>
        <v>0</v>
      </c>
      <c r="O9" s="93">
        <f t="shared" si="7"/>
        <v>878407.97110474599</v>
      </c>
      <c r="P9" s="93">
        <f t="shared" si="8"/>
        <v>13888.305673432154</v>
      </c>
      <c r="Q9" s="137">
        <f>epargne_mensuelle!J9</f>
        <v>0</v>
      </c>
      <c r="R9" s="93">
        <f t="shared" si="9"/>
        <v>1252742.5970082544</v>
      </c>
      <c r="S9" s="93">
        <f t="shared" si="10"/>
        <v>104102.39253267011</v>
      </c>
      <c r="T9" s="137">
        <f>epargne_mensuelle!K9</f>
        <v>0</v>
      </c>
      <c r="U9" s="93">
        <f t="shared" si="11"/>
        <v>1586529.8667436298</v>
      </c>
      <c r="V9" s="93">
        <f t="shared" si="12"/>
        <v>0</v>
      </c>
      <c r="W9" s="137">
        <f>epargne_mensuelle!L9</f>
        <v>0</v>
      </c>
      <c r="X9" s="93">
        <f t="shared" si="13"/>
        <v>1586529.8667436298</v>
      </c>
      <c r="Y9" s="93">
        <f t="shared" si="14"/>
        <v>0</v>
      </c>
      <c r="Z9" s="137">
        <f>epargne_mensuelle!M9</f>
        <v>0</v>
      </c>
      <c r="AA9" s="93">
        <f t="shared" si="15"/>
        <v>1586529.8667436298</v>
      </c>
      <c r="AB9" s="93">
        <f t="shared" si="16"/>
        <v>0</v>
      </c>
      <c r="AC9" s="137">
        <f>epargne_mensuelle!N9</f>
        <v>0</v>
      </c>
      <c r="AD9" s="93">
        <f t="shared" si="17"/>
        <v>1586529.8667436298</v>
      </c>
      <c r="AE9" s="93">
        <f t="shared" si="18"/>
        <v>0</v>
      </c>
      <c r="AF9" s="137">
        <f>epargne_mensuelle!O9</f>
        <v>0</v>
      </c>
      <c r="AG9" s="93">
        <f t="shared" si="19"/>
        <v>1586529.8667436298</v>
      </c>
      <c r="AH9" s="93">
        <f t="shared" si="20"/>
        <v>0</v>
      </c>
      <c r="AI9" s="137">
        <f>epargne_mensuelle!P9</f>
        <v>0</v>
      </c>
      <c r="AJ9" s="93">
        <f t="shared" si="21"/>
        <v>1586529.8667436298</v>
      </c>
      <c r="AK9" s="93">
        <f t="shared" si="22"/>
        <v>0</v>
      </c>
      <c r="AL9" s="137">
        <f>epargne_mensuelle!Q9</f>
        <v>0</v>
      </c>
      <c r="AM9" s="93">
        <f t="shared" si="23"/>
        <v>1586529.8667436298</v>
      </c>
      <c r="AN9" s="93">
        <f t="shared" si="24"/>
        <v>0</v>
      </c>
      <c r="AO9" s="137">
        <f>epargne_mensuelle!R9</f>
        <v>0</v>
      </c>
      <c r="AP9" s="93">
        <f t="shared" si="25"/>
        <v>1586529.8667436298</v>
      </c>
      <c r="AQ9" s="93">
        <f t="shared" si="26"/>
        <v>0</v>
      </c>
      <c r="AR9" s="137">
        <f>epargne_mensuelle!S9</f>
        <v>0</v>
      </c>
      <c r="AS9" s="93">
        <f t="shared" si="27"/>
        <v>1586529.8667436298</v>
      </c>
      <c r="AT9" s="93">
        <f t="shared" si="28"/>
        <v>0</v>
      </c>
      <c r="AU9" s="137">
        <f>epargne_mensuelle!T9</f>
        <v>0</v>
      </c>
      <c r="AV9" s="93">
        <f t="shared" si="29"/>
        <v>1586529.8667436298</v>
      </c>
      <c r="AW9" s="93">
        <f t="shared" si="30"/>
        <v>0</v>
      </c>
      <c r="AX9" s="137">
        <f>epargne_mensuelle!U9</f>
        <v>0</v>
      </c>
      <c r="AY9" s="93">
        <f t="shared" si="31"/>
        <v>1586529.8667436298</v>
      </c>
      <c r="AZ9" s="93">
        <f t="shared" si="32"/>
        <v>0</v>
      </c>
      <c r="BA9" s="137">
        <f>epargne_mensuelle!V9</f>
        <v>0</v>
      </c>
      <c r="BB9" s="93">
        <f t="shared" si="33"/>
        <v>1586529.8667436298</v>
      </c>
      <c r="BC9" s="93">
        <f t="shared" si="34"/>
        <v>0</v>
      </c>
      <c r="BD9" s="137">
        <f>epargne_mensuelle!W9</f>
        <v>0</v>
      </c>
      <c r="BE9" s="93">
        <f t="shared" si="35"/>
        <v>1586529.8667436298</v>
      </c>
      <c r="BF9" s="93">
        <f t="shared" si="36"/>
        <v>0</v>
      </c>
      <c r="BG9" s="137">
        <f>epargne_mensuelle!X9</f>
        <v>0</v>
      </c>
      <c r="BH9" s="93">
        <f t="shared" si="37"/>
        <v>1586529.8667436298</v>
      </c>
      <c r="BI9" s="93">
        <f t="shared" si="38"/>
        <v>0</v>
      </c>
      <c r="BJ9" s="137">
        <f>epargne_mensuelle!Y9</f>
        <v>0</v>
      </c>
      <c r="BK9" s="93">
        <f t="shared" si="39"/>
        <v>1586529.8667436298</v>
      </c>
      <c r="BL9" s="93">
        <f t="shared" si="40"/>
        <v>0</v>
      </c>
      <c r="BM9" s="137">
        <f>epargne_mensuelle!Z9</f>
        <v>0</v>
      </c>
      <c r="BN9" s="93">
        <f t="shared" si="41"/>
        <v>1586529.8667436298</v>
      </c>
      <c r="BO9" s="93">
        <f t="shared" si="42"/>
        <v>0</v>
      </c>
      <c r="BP9" s="137">
        <f>epargne_mensuelle!AA9</f>
        <v>0</v>
      </c>
      <c r="BQ9" s="93">
        <f t="shared" si="43"/>
        <v>1586529.8667436298</v>
      </c>
      <c r="BR9" s="93">
        <f t="shared" si="44"/>
        <v>0</v>
      </c>
      <c r="BS9" s="137">
        <f>epargne_mensuelle!AB9</f>
        <v>0</v>
      </c>
      <c r="BT9" s="93">
        <f t="shared" si="45"/>
        <v>1586529.8667436298</v>
      </c>
      <c r="BU9" s="93">
        <f t="shared" si="46"/>
        <v>0</v>
      </c>
      <c r="BV9" s="94">
        <f>cumul_epargne!C9</f>
        <v>6000758.1962085813</v>
      </c>
      <c r="BW9" s="95">
        <f t="shared" si="50"/>
        <v>970824.0568018225</v>
      </c>
      <c r="BX9" s="134">
        <f t="shared" si="53"/>
        <v>6971582.2530104034</v>
      </c>
      <c r="BY9" s="135"/>
      <c r="BZ9" s="135">
        <f t="shared" si="51"/>
        <v>6971582.2530104034</v>
      </c>
      <c r="CA9" s="96">
        <f t="shared" si="52"/>
        <v>0.16178356551930584</v>
      </c>
      <c r="CB9" s="113">
        <f t="shared" si="47"/>
        <v>0.15367144685253298</v>
      </c>
      <c r="CC9" s="119">
        <f t="shared" si="48"/>
        <v>665213.41707615706</v>
      </c>
      <c r="CD9" s="8" t="str">
        <f t="shared" si="49"/>
        <v>ACTIONNIRE8</v>
      </c>
    </row>
    <row r="10" spans="1:82" ht="18.5" thickBot="1" x14ac:dyDescent="0.45">
      <c r="A10" s="81">
        <f>epargne_mensuelle!A10</f>
        <v>9</v>
      </c>
      <c r="B10" s="81" t="str">
        <f>epargne_mensuelle!B10</f>
        <v>ACTIONNIRE9</v>
      </c>
      <c r="C10" s="146">
        <f>SUM(epargne_mensuelle!C10:E10)</f>
        <v>539026.95372199686</v>
      </c>
      <c r="D10" s="93">
        <f t="shared" si="0"/>
        <v>68133.086438977509</v>
      </c>
      <c r="E10" s="146">
        <f>epargne_mensuelle!F10</f>
        <v>0</v>
      </c>
      <c r="F10" s="93">
        <f t="shared" si="1"/>
        <v>80698.507043206831</v>
      </c>
      <c r="G10" s="93">
        <f t="shared" si="2"/>
        <v>0</v>
      </c>
      <c r="H10" s="146">
        <f>epargne_mensuelle!G10</f>
        <v>0</v>
      </c>
      <c r="I10" s="93">
        <f t="shared" si="3"/>
        <v>91942.546051471392</v>
      </c>
      <c r="J10" s="93">
        <f t="shared" si="4"/>
        <v>8735.7320320871659</v>
      </c>
      <c r="K10" s="146">
        <f>epargne_mensuelle!H10</f>
        <v>0</v>
      </c>
      <c r="L10" s="93">
        <f t="shared" si="5"/>
        <v>78242.687036738163</v>
      </c>
      <c r="M10" s="93">
        <f t="shared" si="6"/>
        <v>3027.7483339220944</v>
      </c>
      <c r="N10" s="146">
        <f>epargne_mensuelle!I10</f>
        <v>0</v>
      </c>
      <c r="O10" s="93">
        <f t="shared" si="7"/>
        <v>68560.170410763909</v>
      </c>
      <c r="P10" s="93">
        <f t="shared" si="8"/>
        <v>1083.98902902686</v>
      </c>
      <c r="Q10" s="137">
        <f>epargne_mensuelle!J10</f>
        <v>0</v>
      </c>
      <c r="R10" s="93">
        <f t="shared" si="9"/>
        <v>106110.49436670121</v>
      </c>
      <c r="S10" s="93">
        <f t="shared" si="10"/>
        <v>8817.7382670457919</v>
      </c>
      <c r="T10" s="137">
        <f>epargne_mensuelle!K10</f>
        <v>0</v>
      </c>
      <c r="U10" s="93">
        <f t="shared" si="11"/>
        <v>137782.56814001972</v>
      </c>
      <c r="V10" s="93">
        <f t="shared" si="12"/>
        <v>0</v>
      </c>
      <c r="W10" s="137">
        <f>epargne_mensuelle!L10</f>
        <v>0</v>
      </c>
      <c r="X10" s="93">
        <f t="shared" si="13"/>
        <v>137782.56814001972</v>
      </c>
      <c r="Y10" s="93">
        <f t="shared" si="14"/>
        <v>0</v>
      </c>
      <c r="Z10" s="137">
        <f>epargne_mensuelle!M10</f>
        <v>0</v>
      </c>
      <c r="AA10" s="93">
        <f t="shared" si="15"/>
        <v>137782.56814001972</v>
      </c>
      <c r="AB10" s="93">
        <f t="shared" si="16"/>
        <v>0</v>
      </c>
      <c r="AC10" s="137">
        <f>epargne_mensuelle!N10</f>
        <v>0</v>
      </c>
      <c r="AD10" s="93">
        <f t="shared" si="17"/>
        <v>137782.56814001972</v>
      </c>
      <c r="AE10" s="93">
        <f t="shared" si="18"/>
        <v>0</v>
      </c>
      <c r="AF10" s="137">
        <f>epargne_mensuelle!O10</f>
        <v>0</v>
      </c>
      <c r="AG10" s="93">
        <f t="shared" si="19"/>
        <v>137782.56814001972</v>
      </c>
      <c r="AH10" s="93">
        <f t="shared" si="20"/>
        <v>0</v>
      </c>
      <c r="AI10" s="137">
        <f>epargne_mensuelle!P10</f>
        <v>0</v>
      </c>
      <c r="AJ10" s="93">
        <f t="shared" si="21"/>
        <v>137782.56814001972</v>
      </c>
      <c r="AK10" s="93">
        <f t="shared" si="22"/>
        <v>0</v>
      </c>
      <c r="AL10" s="137">
        <f>epargne_mensuelle!Q10</f>
        <v>0</v>
      </c>
      <c r="AM10" s="93">
        <f t="shared" si="23"/>
        <v>137782.56814001972</v>
      </c>
      <c r="AN10" s="93">
        <f t="shared" si="24"/>
        <v>0</v>
      </c>
      <c r="AO10" s="137">
        <f>epargne_mensuelle!R10</f>
        <v>0</v>
      </c>
      <c r="AP10" s="93">
        <f t="shared" si="25"/>
        <v>137782.56814001972</v>
      </c>
      <c r="AQ10" s="93">
        <f t="shared" si="26"/>
        <v>0</v>
      </c>
      <c r="AR10" s="137">
        <f>epargne_mensuelle!S10</f>
        <v>0</v>
      </c>
      <c r="AS10" s="93">
        <f t="shared" si="27"/>
        <v>137782.56814001972</v>
      </c>
      <c r="AT10" s="93">
        <f t="shared" si="28"/>
        <v>0</v>
      </c>
      <c r="AU10" s="137">
        <f>epargne_mensuelle!T10</f>
        <v>0</v>
      </c>
      <c r="AV10" s="93">
        <f t="shared" si="29"/>
        <v>137782.56814001972</v>
      </c>
      <c r="AW10" s="93">
        <f t="shared" si="30"/>
        <v>0</v>
      </c>
      <c r="AX10" s="137">
        <f>epargne_mensuelle!U10</f>
        <v>0</v>
      </c>
      <c r="AY10" s="93">
        <f t="shared" si="31"/>
        <v>137782.56814001972</v>
      </c>
      <c r="AZ10" s="93">
        <f t="shared" si="32"/>
        <v>0</v>
      </c>
      <c r="BA10" s="137">
        <f>epargne_mensuelle!V10</f>
        <v>0</v>
      </c>
      <c r="BB10" s="93">
        <f t="shared" si="33"/>
        <v>137782.56814001972</v>
      </c>
      <c r="BC10" s="93">
        <f t="shared" si="34"/>
        <v>0</v>
      </c>
      <c r="BD10" s="137">
        <f>epargne_mensuelle!W10</f>
        <v>0</v>
      </c>
      <c r="BE10" s="93">
        <f t="shared" si="35"/>
        <v>137782.56814001972</v>
      </c>
      <c r="BF10" s="93">
        <f t="shared" si="36"/>
        <v>0</v>
      </c>
      <c r="BG10" s="137">
        <f>epargne_mensuelle!X10</f>
        <v>0</v>
      </c>
      <c r="BH10" s="93">
        <f t="shared" si="37"/>
        <v>137782.56814001972</v>
      </c>
      <c r="BI10" s="93">
        <f t="shared" si="38"/>
        <v>0</v>
      </c>
      <c r="BJ10" s="137">
        <f>epargne_mensuelle!Y10</f>
        <v>0</v>
      </c>
      <c r="BK10" s="93">
        <f t="shared" si="39"/>
        <v>137782.56814001972</v>
      </c>
      <c r="BL10" s="93">
        <f t="shared" si="40"/>
        <v>0</v>
      </c>
      <c r="BM10" s="137">
        <f>epargne_mensuelle!Z10</f>
        <v>0</v>
      </c>
      <c r="BN10" s="93">
        <f t="shared" si="41"/>
        <v>137782.56814001972</v>
      </c>
      <c r="BO10" s="93">
        <f t="shared" si="42"/>
        <v>0</v>
      </c>
      <c r="BP10" s="137">
        <f>epargne_mensuelle!AA10</f>
        <v>0</v>
      </c>
      <c r="BQ10" s="93">
        <f t="shared" si="43"/>
        <v>137782.56814001972</v>
      </c>
      <c r="BR10" s="93">
        <f t="shared" si="44"/>
        <v>0</v>
      </c>
      <c r="BS10" s="137">
        <f>epargne_mensuelle!AB10</f>
        <v>0</v>
      </c>
      <c r="BT10" s="93">
        <f t="shared" si="45"/>
        <v>137782.56814001972</v>
      </c>
      <c r="BU10" s="93">
        <f t="shared" si="46"/>
        <v>0</v>
      </c>
      <c r="BV10" s="94">
        <f>cumul_epargne!C10</f>
        <v>539026.95372199686</v>
      </c>
      <c r="BW10" s="95">
        <f t="shared" si="50"/>
        <v>89798.294101059422</v>
      </c>
      <c r="BX10" s="134">
        <f t="shared" si="53"/>
        <v>628825.2478230563</v>
      </c>
      <c r="BY10" s="135"/>
      <c r="BZ10" s="135">
        <f t="shared" si="51"/>
        <v>628825.2478230563</v>
      </c>
      <c r="CA10" s="96">
        <f t="shared" si="52"/>
        <v>0.16659332799779228</v>
      </c>
      <c r="CB10" s="113">
        <f t="shared" si="47"/>
        <v>1.3860911647229687E-2</v>
      </c>
      <c r="CC10" s="119">
        <f t="shared" si="48"/>
        <v>60001.155644044637</v>
      </c>
      <c r="CD10" s="8" t="str">
        <f t="shared" si="49"/>
        <v>ACTIONNIRE9</v>
      </c>
    </row>
    <row r="11" spans="1:82" ht="18.5" thickBot="1" x14ac:dyDescent="0.45">
      <c r="A11" s="81">
        <f>epargne_mensuelle!A11</f>
        <v>10</v>
      </c>
      <c r="B11" s="81" t="str">
        <f>epargne_mensuelle!B11</f>
        <v>ACTIONNIRE10</v>
      </c>
      <c r="C11" s="146">
        <f>SUM(epargne_mensuelle!C11:E11)</f>
        <v>477772.0916201481</v>
      </c>
      <c r="D11" s="93">
        <f t="shared" si="0"/>
        <v>60390.462836252475</v>
      </c>
      <c r="E11" s="146">
        <f>epargne_mensuelle!F11</f>
        <v>25000</v>
      </c>
      <c r="F11" s="93">
        <f t="shared" si="1"/>
        <v>96527.952794251527</v>
      </c>
      <c r="G11" s="93">
        <f t="shared" si="2"/>
        <v>0</v>
      </c>
      <c r="H11" s="146">
        <f>epargne_mensuelle!G11</f>
        <v>0</v>
      </c>
      <c r="I11" s="93">
        <f t="shared" si="3"/>
        <v>107015.71963301214</v>
      </c>
      <c r="J11" s="93">
        <f t="shared" si="4"/>
        <v>10167.878638161801</v>
      </c>
      <c r="K11" s="146">
        <f>epargne_mensuelle!H11</f>
        <v>0</v>
      </c>
      <c r="L11" s="93">
        <f t="shared" si="5"/>
        <v>80247.121224294693</v>
      </c>
      <c r="M11" s="93">
        <f t="shared" si="6"/>
        <v>3105.3136950015419</v>
      </c>
      <c r="N11" s="146">
        <f>epargne_mensuelle!I11</f>
        <v>0</v>
      </c>
      <c r="O11" s="93">
        <f t="shared" si="7"/>
        <v>66900.146457563635</v>
      </c>
      <c r="P11" s="93">
        <f t="shared" si="8"/>
        <v>1057.7427734762996</v>
      </c>
      <c r="Q11" s="137">
        <f>epargne_mensuelle!J11</f>
        <v>0</v>
      </c>
      <c r="R11" s="93">
        <f t="shared" si="9"/>
        <v>100804.93801567965</v>
      </c>
      <c r="S11" s="93">
        <f t="shared" si="10"/>
        <v>8376.8487250303151</v>
      </c>
      <c r="T11" s="137">
        <f>epargne_mensuelle!K11</f>
        <v>0</v>
      </c>
      <c r="U11" s="93">
        <f t="shared" si="11"/>
        <v>129864.81828935975</v>
      </c>
      <c r="V11" s="93">
        <f t="shared" si="12"/>
        <v>0</v>
      </c>
      <c r="W11" s="137">
        <f>epargne_mensuelle!L11</f>
        <v>0</v>
      </c>
      <c r="X11" s="93">
        <f t="shared" si="13"/>
        <v>129864.81828935975</v>
      </c>
      <c r="Y11" s="93">
        <f t="shared" si="14"/>
        <v>0</v>
      </c>
      <c r="Z11" s="137">
        <f>epargne_mensuelle!M11</f>
        <v>0</v>
      </c>
      <c r="AA11" s="93">
        <f t="shared" si="15"/>
        <v>129864.81828935975</v>
      </c>
      <c r="AB11" s="93">
        <f t="shared" si="16"/>
        <v>0</v>
      </c>
      <c r="AC11" s="137">
        <f>epargne_mensuelle!N11</f>
        <v>0</v>
      </c>
      <c r="AD11" s="93">
        <f t="shared" si="17"/>
        <v>129864.81828935975</v>
      </c>
      <c r="AE11" s="93">
        <f t="shared" si="18"/>
        <v>0</v>
      </c>
      <c r="AF11" s="137">
        <f>epargne_mensuelle!O11</f>
        <v>0</v>
      </c>
      <c r="AG11" s="93">
        <f t="shared" si="19"/>
        <v>129864.81828935975</v>
      </c>
      <c r="AH11" s="93">
        <f t="shared" si="20"/>
        <v>0</v>
      </c>
      <c r="AI11" s="137">
        <f>epargne_mensuelle!P11</f>
        <v>0</v>
      </c>
      <c r="AJ11" s="93">
        <f t="shared" si="21"/>
        <v>129864.81828935975</v>
      </c>
      <c r="AK11" s="93">
        <f t="shared" si="22"/>
        <v>0</v>
      </c>
      <c r="AL11" s="137">
        <f>epargne_mensuelle!Q11</f>
        <v>0</v>
      </c>
      <c r="AM11" s="93">
        <f t="shared" si="23"/>
        <v>129864.81828935975</v>
      </c>
      <c r="AN11" s="93">
        <f t="shared" si="24"/>
        <v>0</v>
      </c>
      <c r="AO11" s="137">
        <f>epargne_mensuelle!R11</f>
        <v>0</v>
      </c>
      <c r="AP11" s="93">
        <f t="shared" si="25"/>
        <v>129864.81828935975</v>
      </c>
      <c r="AQ11" s="93">
        <f t="shared" si="26"/>
        <v>0</v>
      </c>
      <c r="AR11" s="137">
        <f>epargne_mensuelle!S11</f>
        <v>0</v>
      </c>
      <c r="AS11" s="93">
        <f t="shared" si="27"/>
        <v>129864.81828935975</v>
      </c>
      <c r="AT11" s="93">
        <f t="shared" si="28"/>
        <v>0</v>
      </c>
      <c r="AU11" s="137">
        <f>epargne_mensuelle!T11</f>
        <v>0</v>
      </c>
      <c r="AV11" s="93">
        <f t="shared" si="29"/>
        <v>129864.81828935975</v>
      </c>
      <c r="AW11" s="93">
        <f t="shared" si="30"/>
        <v>0</v>
      </c>
      <c r="AX11" s="137">
        <f>epargne_mensuelle!U11</f>
        <v>0</v>
      </c>
      <c r="AY11" s="93">
        <f t="shared" si="31"/>
        <v>129864.81828935975</v>
      </c>
      <c r="AZ11" s="93">
        <f t="shared" si="32"/>
        <v>0</v>
      </c>
      <c r="BA11" s="137">
        <f>epargne_mensuelle!V11</f>
        <v>0</v>
      </c>
      <c r="BB11" s="93">
        <f t="shared" si="33"/>
        <v>129864.81828935975</v>
      </c>
      <c r="BC11" s="93">
        <f t="shared" si="34"/>
        <v>0</v>
      </c>
      <c r="BD11" s="137">
        <f>epargne_mensuelle!W11</f>
        <v>0</v>
      </c>
      <c r="BE11" s="93">
        <f t="shared" si="35"/>
        <v>129864.81828935975</v>
      </c>
      <c r="BF11" s="93">
        <f t="shared" si="36"/>
        <v>0</v>
      </c>
      <c r="BG11" s="137">
        <f>epargne_mensuelle!X11</f>
        <v>0</v>
      </c>
      <c r="BH11" s="93">
        <f t="shared" si="37"/>
        <v>129864.81828935975</v>
      </c>
      <c r="BI11" s="93">
        <f t="shared" si="38"/>
        <v>0</v>
      </c>
      <c r="BJ11" s="137">
        <f>epargne_mensuelle!Y11</f>
        <v>0</v>
      </c>
      <c r="BK11" s="93">
        <f t="shared" si="39"/>
        <v>129864.81828935975</v>
      </c>
      <c r="BL11" s="93">
        <f t="shared" si="40"/>
        <v>0</v>
      </c>
      <c r="BM11" s="137">
        <f>epargne_mensuelle!Z11</f>
        <v>0</v>
      </c>
      <c r="BN11" s="93">
        <f t="shared" si="41"/>
        <v>129864.81828935975</v>
      </c>
      <c r="BO11" s="93">
        <f t="shared" si="42"/>
        <v>0</v>
      </c>
      <c r="BP11" s="137">
        <f>epargne_mensuelle!AA11</f>
        <v>0</v>
      </c>
      <c r="BQ11" s="93">
        <f t="shared" si="43"/>
        <v>129864.81828935975</v>
      </c>
      <c r="BR11" s="93">
        <f t="shared" si="44"/>
        <v>0</v>
      </c>
      <c r="BS11" s="137">
        <f>epargne_mensuelle!AB11</f>
        <v>0</v>
      </c>
      <c r="BT11" s="93">
        <f t="shared" si="45"/>
        <v>129864.81828935975</v>
      </c>
      <c r="BU11" s="93">
        <f t="shared" si="46"/>
        <v>0</v>
      </c>
      <c r="BV11" s="94">
        <f>cumul_epargne!C11</f>
        <v>502772.0916201481</v>
      </c>
      <c r="BW11" s="95">
        <f t="shared" si="50"/>
        <v>83098.246667922445</v>
      </c>
      <c r="BX11" s="134">
        <f t="shared" si="53"/>
        <v>585870.33828807052</v>
      </c>
      <c r="BY11" s="135"/>
      <c r="BZ11" s="135">
        <f t="shared" si="51"/>
        <v>585870.33828807052</v>
      </c>
      <c r="CA11" s="96">
        <f t="shared" si="52"/>
        <v>0.1652801498988222</v>
      </c>
      <c r="CB11" s="113">
        <f t="shared" si="47"/>
        <v>1.2914075927861882E-2</v>
      </c>
      <c r="CC11" s="119">
        <f t="shared" si="48"/>
        <v>55902.490360474832</v>
      </c>
      <c r="CD11" s="8" t="str">
        <f t="shared" si="49"/>
        <v>ACTIONNIRE10</v>
      </c>
    </row>
    <row r="12" spans="1:82" ht="18.5" thickBot="1" x14ac:dyDescent="0.45">
      <c r="A12" s="81">
        <f>epargne_mensuelle!A12</f>
        <v>11</v>
      </c>
      <c r="B12" s="81" t="str">
        <f>epargne_mensuelle!B12</f>
        <v>ACTIONNIRE11</v>
      </c>
      <c r="C12" s="146">
        <f>SUM(epargne_mensuelle!C12:E12)</f>
        <v>1066673.4389811987</v>
      </c>
      <c r="D12" s="93">
        <f t="shared" si="0"/>
        <v>134827.67998601779</v>
      </c>
      <c r="E12" s="146">
        <f>epargne_mensuelle!F12</f>
        <v>20000</v>
      </c>
      <c r="F12" s="93">
        <f t="shared" si="1"/>
        <v>179693.22764668486</v>
      </c>
      <c r="G12" s="93">
        <f t="shared" si="2"/>
        <v>0</v>
      </c>
      <c r="H12" s="146">
        <f>epargne_mensuelle!G12</f>
        <v>0</v>
      </c>
      <c r="I12" s="93">
        <f t="shared" si="3"/>
        <v>202361.10807971295</v>
      </c>
      <c r="J12" s="93">
        <f t="shared" si="4"/>
        <v>19226.92474614489</v>
      </c>
      <c r="K12" s="146">
        <f>epargne_mensuelle!H12</f>
        <v>0</v>
      </c>
      <c r="L12" s="93">
        <f t="shared" si="5"/>
        <v>163550.16515417013</v>
      </c>
      <c r="M12" s="93">
        <f t="shared" si="6"/>
        <v>6328.8820823051556</v>
      </c>
      <c r="N12" s="146">
        <f>epargne_mensuelle!I12</f>
        <v>0</v>
      </c>
      <c r="O12" s="93">
        <f t="shared" si="7"/>
        <v>140577.73758738756</v>
      </c>
      <c r="P12" s="93">
        <f t="shared" si="8"/>
        <v>2222.6421602683276</v>
      </c>
      <c r="Q12" s="137">
        <f>epargne_mensuelle!J12</f>
        <v>0</v>
      </c>
      <c r="R12" s="93">
        <f t="shared" si="9"/>
        <v>215382.92620491335</v>
      </c>
      <c r="S12" s="93">
        <f t="shared" si="10"/>
        <v>17898.232232356404</v>
      </c>
      <c r="T12" s="137">
        <f>epargne_mensuelle!K12</f>
        <v>0</v>
      </c>
      <c r="U12" s="93">
        <f t="shared" si="11"/>
        <v>278847.99091214646</v>
      </c>
      <c r="V12" s="93">
        <f t="shared" si="12"/>
        <v>0</v>
      </c>
      <c r="W12" s="137">
        <f>epargne_mensuelle!L12</f>
        <v>0</v>
      </c>
      <c r="X12" s="93">
        <f t="shared" si="13"/>
        <v>278847.99091214646</v>
      </c>
      <c r="Y12" s="93">
        <f t="shared" si="14"/>
        <v>0</v>
      </c>
      <c r="Z12" s="137">
        <f>epargne_mensuelle!M12</f>
        <v>0</v>
      </c>
      <c r="AA12" s="93">
        <f t="shared" si="15"/>
        <v>278847.99091214646</v>
      </c>
      <c r="AB12" s="93">
        <f t="shared" si="16"/>
        <v>0</v>
      </c>
      <c r="AC12" s="137">
        <f>epargne_mensuelle!N12</f>
        <v>0</v>
      </c>
      <c r="AD12" s="93">
        <f t="shared" si="17"/>
        <v>278847.99091214646</v>
      </c>
      <c r="AE12" s="93">
        <f t="shared" si="18"/>
        <v>0</v>
      </c>
      <c r="AF12" s="137">
        <f>epargne_mensuelle!O12</f>
        <v>0</v>
      </c>
      <c r="AG12" s="93">
        <f t="shared" si="19"/>
        <v>278847.99091214646</v>
      </c>
      <c r="AH12" s="93">
        <f t="shared" si="20"/>
        <v>0</v>
      </c>
      <c r="AI12" s="137">
        <f>epargne_mensuelle!P12</f>
        <v>0</v>
      </c>
      <c r="AJ12" s="93">
        <f t="shared" si="21"/>
        <v>278847.99091214646</v>
      </c>
      <c r="AK12" s="93">
        <f t="shared" si="22"/>
        <v>0</v>
      </c>
      <c r="AL12" s="137">
        <f>epargne_mensuelle!Q12</f>
        <v>0</v>
      </c>
      <c r="AM12" s="93">
        <f t="shared" si="23"/>
        <v>278847.99091214646</v>
      </c>
      <c r="AN12" s="93">
        <f t="shared" si="24"/>
        <v>0</v>
      </c>
      <c r="AO12" s="137">
        <f>epargne_mensuelle!R12</f>
        <v>0</v>
      </c>
      <c r="AP12" s="93">
        <f t="shared" si="25"/>
        <v>278847.99091214646</v>
      </c>
      <c r="AQ12" s="93">
        <f t="shared" si="26"/>
        <v>0</v>
      </c>
      <c r="AR12" s="137">
        <f>epargne_mensuelle!S12</f>
        <v>0</v>
      </c>
      <c r="AS12" s="93">
        <f t="shared" si="27"/>
        <v>278847.99091214646</v>
      </c>
      <c r="AT12" s="93">
        <f t="shared" si="28"/>
        <v>0</v>
      </c>
      <c r="AU12" s="137">
        <f>epargne_mensuelle!T12</f>
        <v>0</v>
      </c>
      <c r="AV12" s="93">
        <f t="shared" si="29"/>
        <v>278847.99091214646</v>
      </c>
      <c r="AW12" s="93">
        <f t="shared" si="30"/>
        <v>0</v>
      </c>
      <c r="AX12" s="137">
        <f>epargne_mensuelle!U12</f>
        <v>0</v>
      </c>
      <c r="AY12" s="93">
        <f t="shared" si="31"/>
        <v>278847.99091214646</v>
      </c>
      <c r="AZ12" s="93">
        <f t="shared" si="32"/>
        <v>0</v>
      </c>
      <c r="BA12" s="137">
        <f>epargne_mensuelle!V12</f>
        <v>0</v>
      </c>
      <c r="BB12" s="93">
        <f t="shared" si="33"/>
        <v>278847.99091214646</v>
      </c>
      <c r="BC12" s="93">
        <f t="shared" si="34"/>
        <v>0</v>
      </c>
      <c r="BD12" s="137">
        <f>epargne_mensuelle!W12</f>
        <v>0</v>
      </c>
      <c r="BE12" s="93">
        <f t="shared" si="35"/>
        <v>278847.99091214646</v>
      </c>
      <c r="BF12" s="93">
        <f t="shared" si="36"/>
        <v>0</v>
      </c>
      <c r="BG12" s="137">
        <f>epargne_mensuelle!X12</f>
        <v>0</v>
      </c>
      <c r="BH12" s="93">
        <f t="shared" si="37"/>
        <v>278847.99091214646</v>
      </c>
      <c r="BI12" s="93">
        <f t="shared" si="38"/>
        <v>0</v>
      </c>
      <c r="BJ12" s="137">
        <f>epargne_mensuelle!Y12</f>
        <v>0</v>
      </c>
      <c r="BK12" s="93">
        <f t="shared" si="39"/>
        <v>278847.99091214646</v>
      </c>
      <c r="BL12" s="93">
        <f t="shared" si="40"/>
        <v>0</v>
      </c>
      <c r="BM12" s="137">
        <f>epargne_mensuelle!Z12</f>
        <v>0</v>
      </c>
      <c r="BN12" s="93">
        <f t="shared" si="41"/>
        <v>278847.99091214646</v>
      </c>
      <c r="BO12" s="93">
        <f t="shared" si="42"/>
        <v>0</v>
      </c>
      <c r="BP12" s="137">
        <f>epargne_mensuelle!AA12</f>
        <v>0</v>
      </c>
      <c r="BQ12" s="93">
        <f t="shared" si="43"/>
        <v>278847.99091214646</v>
      </c>
      <c r="BR12" s="93">
        <f t="shared" si="44"/>
        <v>0</v>
      </c>
      <c r="BS12" s="137">
        <f>epargne_mensuelle!AB12</f>
        <v>0</v>
      </c>
      <c r="BT12" s="93">
        <f t="shared" si="45"/>
        <v>278847.99091214646</v>
      </c>
      <c r="BU12" s="93">
        <f t="shared" si="46"/>
        <v>0</v>
      </c>
      <c r="BV12" s="94">
        <f>cumul_epargne!C12</f>
        <v>1086673.4389811987</v>
      </c>
      <c r="BW12" s="95">
        <f t="shared" si="50"/>
        <v>180504.36120709256</v>
      </c>
      <c r="BX12" s="134">
        <f t="shared" si="53"/>
        <v>1267177.8001882914</v>
      </c>
      <c r="BY12" s="135"/>
      <c r="BZ12" s="135">
        <f t="shared" si="51"/>
        <v>1267177.8001882914</v>
      </c>
      <c r="CA12" s="96">
        <f t="shared" si="52"/>
        <v>0.16610727264699029</v>
      </c>
      <c r="CB12" s="113">
        <f t="shared" si="47"/>
        <v>2.7931829376359806E-2</v>
      </c>
      <c r="CC12" s="119">
        <f t="shared" si="48"/>
        <v>120911.38624123798</v>
      </c>
      <c r="CD12" s="8" t="str">
        <f t="shared" si="49"/>
        <v>ACTIONNIRE11</v>
      </c>
    </row>
    <row r="13" spans="1:82" ht="18.5" thickBot="1" x14ac:dyDescent="0.45">
      <c r="A13" s="81">
        <f>epargne_mensuelle!A13</f>
        <v>12</v>
      </c>
      <c r="B13" s="81" t="str">
        <f>epargne_mensuelle!B13</f>
        <v>ACTIONNIRE12</v>
      </c>
      <c r="C13" s="146">
        <f>SUM(epargne_mensuelle!C13:E13)</f>
        <v>472273.11184729106</v>
      </c>
      <c r="D13" s="93">
        <f t="shared" si="0"/>
        <v>59695.390982047036</v>
      </c>
      <c r="E13" s="146">
        <f>epargne_mensuelle!F13</f>
        <v>0</v>
      </c>
      <c r="F13" s="93">
        <f t="shared" si="1"/>
        <v>70704.692556769558</v>
      </c>
      <c r="G13" s="93">
        <f t="shared" si="2"/>
        <v>0</v>
      </c>
      <c r="H13" s="146">
        <f>epargne_mensuelle!G13</f>
        <v>0</v>
      </c>
      <c r="I13" s="93">
        <f t="shared" si="3"/>
        <v>80556.254256046275</v>
      </c>
      <c r="J13" s="93">
        <f t="shared" si="4"/>
        <v>7653.8869208118886</v>
      </c>
      <c r="K13" s="146">
        <f>epargne_mensuelle!H13</f>
        <v>0</v>
      </c>
      <c r="L13" s="93">
        <f t="shared" si="5"/>
        <v>68553.004689245994</v>
      </c>
      <c r="M13" s="93">
        <f t="shared" si="6"/>
        <v>2652.7878015712772</v>
      </c>
      <c r="N13" s="146">
        <f>epargne_mensuelle!I13</f>
        <v>0</v>
      </c>
      <c r="O13" s="93">
        <f t="shared" si="7"/>
        <v>60069.584285337187</v>
      </c>
      <c r="P13" s="93">
        <f t="shared" si="8"/>
        <v>949.74633162940336</v>
      </c>
      <c r="Q13" s="137">
        <f>epargne_mensuelle!J13</f>
        <v>0</v>
      </c>
      <c r="R13" s="93">
        <f t="shared" si="9"/>
        <v>92969.624298346826</v>
      </c>
      <c r="S13" s="93">
        <f t="shared" si="10"/>
        <v>7725.7373904541973</v>
      </c>
      <c r="T13" s="137">
        <f>epargne_mensuelle!K13</f>
        <v>0</v>
      </c>
      <c r="U13" s="93">
        <f t="shared" si="11"/>
        <v>120719.3847440863</v>
      </c>
      <c r="V13" s="93">
        <f t="shared" si="12"/>
        <v>0</v>
      </c>
      <c r="W13" s="137">
        <f>epargne_mensuelle!L13</f>
        <v>0</v>
      </c>
      <c r="X13" s="93">
        <f t="shared" si="13"/>
        <v>120719.3847440863</v>
      </c>
      <c r="Y13" s="93">
        <f t="shared" si="14"/>
        <v>0</v>
      </c>
      <c r="Z13" s="137">
        <f>epargne_mensuelle!M13</f>
        <v>0</v>
      </c>
      <c r="AA13" s="93">
        <f t="shared" si="15"/>
        <v>120719.3847440863</v>
      </c>
      <c r="AB13" s="93">
        <f t="shared" si="16"/>
        <v>0</v>
      </c>
      <c r="AC13" s="137">
        <f>epargne_mensuelle!N13</f>
        <v>0</v>
      </c>
      <c r="AD13" s="93">
        <f t="shared" si="17"/>
        <v>120719.3847440863</v>
      </c>
      <c r="AE13" s="93">
        <f t="shared" si="18"/>
        <v>0</v>
      </c>
      <c r="AF13" s="137">
        <f>epargne_mensuelle!O13</f>
        <v>0</v>
      </c>
      <c r="AG13" s="93">
        <f t="shared" si="19"/>
        <v>120719.3847440863</v>
      </c>
      <c r="AH13" s="93">
        <f t="shared" si="20"/>
        <v>0</v>
      </c>
      <c r="AI13" s="137">
        <f>epargne_mensuelle!P13</f>
        <v>0</v>
      </c>
      <c r="AJ13" s="93">
        <f t="shared" si="21"/>
        <v>120719.3847440863</v>
      </c>
      <c r="AK13" s="93">
        <f t="shared" si="22"/>
        <v>0</v>
      </c>
      <c r="AL13" s="137">
        <f>epargne_mensuelle!Q13</f>
        <v>0</v>
      </c>
      <c r="AM13" s="93">
        <f t="shared" si="23"/>
        <v>120719.3847440863</v>
      </c>
      <c r="AN13" s="93">
        <f t="shared" si="24"/>
        <v>0</v>
      </c>
      <c r="AO13" s="137">
        <f>epargne_mensuelle!R13</f>
        <v>0</v>
      </c>
      <c r="AP13" s="93">
        <f t="shared" si="25"/>
        <v>120719.3847440863</v>
      </c>
      <c r="AQ13" s="93">
        <f t="shared" si="26"/>
        <v>0</v>
      </c>
      <c r="AR13" s="137">
        <f>epargne_mensuelle!S13</f>
        <v>0</v>
      </c>
      <c r="AS13" s="93">
        <f t="shared" si="27"/>
        <v>120719.3847440863</v>
      </c>
      <c r="AT13" s="93">
        <f t="shared" si="28"/>
        <v>0</v>
      </c>
      <c r="AU13" s="137">
        <f>epargne_mensuelle!T13</f>
        <v>0</v>
      </c>
      <c r="AV13" s="93">
        <f t="shared" si="29"/>
        <v>120719.3847440863</v>
      </c>
      <c r="AW13" s="93">
        <f t="shared" si="30"/>
        <v>0</v>
      </c>
      <c r="AX13" s="137">
        <f>epargne_mensuelle!U13</f>
        <v>0</v>
      </c>
      <c r="AY13" s="93">
        <f t="shared" si="31"/>
        <v>120719.3847440863</v>
      </c>
      <c r="AZ13" s="93">
        <f t="shared" si="32"/>
        <v>0</v>
      </c>
      <c r="BA13" s="137">
        <f>epargne_mensuelle!V13</f>
        <v>0</v>
      </c>
      <c r="BB13" s="93">
        <f t="shared" si="33"/>
        <v>120719.3847440863</v>
      </c>
      <c r="BC13" s="93">
        <f t="shared" si="34"/>
        <v>0</v>
      </c>
      <c r="BD13" s="137">
        <f>epargne_mensuelle!W13</f>
        <v>0</v>
      </c>
      <c r="BE13" s="93">
        <f t="shared" si="35"/>
        <v>120719.3847440863</v>
      </c>
      <c r="BF13" s="93">
        <f t="shared" si="36"/>
        <v>0</v>
      </c>
      <c r="BG13" s="137">
        <f>epargne_mensuelle!X13</f>
        <v>0</v>
      </c>
      <c r="BH13" s="93">
        <f t="shared" si="37"/>
        <v>120719.3847440863</v>
      </c>
      <c r="BI13" s="93">
        <f t="shared" si="38"/>
        <v>0</v>
      </c>
      <c r="BJ13" s="137">
        <f>epargne_mensuelle!Y13</f>
        <v>0</v>
      </c>
      <c r="BK13" s="93">
        <f t="shared" si="39"/>
        <v>120719.3847440863</v>
      </c>
      <c r="BL13" s="93">
        <f t="shared" si="40"/>
        <v>0</v>
      </c>
      <c r="BM13" s="137">
        <f>epargne_mensuelle!Z13</f>
        <v>0</v>
      </c>
      <c r="BN13" s="93">
        <f t="shared" si="41"/>
        <v>120719.3847440863</v>
      </c>
      <c r="BO13" s="93">
        <f t="shared" si="42"/>
        <v>0</v>
      </c>
      <c r="BP13" s="137">
        <f>epargne_mensuelle!AA13</f>
        <v>0</v>
      </c>
      <c r="BQ13" s="93">
        <f t="shared" si="43"/>
        <v>120719.3847440863</v>
      </c>
      <c r="BR13" s="93">
        <f t="shared" si="44"/>
        <v>0</v>
      </c>
      <c r="BS13" s="137">
        <f>epargne_mensuelle!AB13</f>
        <v>0</v>
      </c>
      <c r="BT13" s="93">
        <f t="shared" si="45"/>
        <v>120719.3847440863</v>
      </c>
      <c r="BU13" s="93">
        <f t="shared" si="46"/>
        <v>0</v>
      </c>
      <c r="BV13" s="94">
        <f>cumul_epargne!C13</f>
        <v>472273.11184729106</v>
      </c>
      <c r="BW13" s="95">
        <f t="shared" si="50"/>
        <v>78677.549426513811</v>
      </c>
      <c r="BX13" s="134">
        <f t="shared" si="53"/>
        <v>550950.66127380484</v>
      </c>
      <c r="BY13" s="135"/>
      <c r="BZ13" s="135">
        <f t="shared" si="51"/>
        <v>550950.66127380484</v>
      </c>
      <c r="CA13" s="96">
        <f t="shared" si="52"/>
        <v>0.16659332799779231</v>
      </c>
      <c r="CB13" s="113">
        <f t="shared" si="47"/>
        <v>1.2144357219015238E-2</v>
      </c>
      <c r="CC13" s="119">
        <f t="shared" si="48"/>
        <v>52570.529719857725</v>
      </c>
      <c r="CD13" s="8" t="str">
        <f t="shared" si="49"/>
        <v>ACTIONNIRE12</v>
      </c>
    </row>
    <row r="14" spans="1:82" ht="18.5" thickBot="1" x14ac:dyDescent="0.45">
      <c r="A14" s="81">
        <f>epargne_mensuelle!A14</f>
        <v>13</v>
      </c>
      <c r="B14" s="81" t="str">
        <f>epargne_mensuelle!B14</f>
        <v>ACTIONNIRE13</v>
      </c>
      <c r="C14" s="146">
        <f>SUM(epargne_mensuelle!C14:E14)</f>
        <v>2208778.2072738009</v>
      </c>
      <c r="D14" s="93">
        <f t="shared" si="0"/>
        <v>279189.89112060494</v>
      </c>
      <c r="E14" s="146">
        <f>epargne_mensuelle!F14</f>
        <v>0</v>
      </c>
      <c r="F14" s="93">
        <f t="shared" si="1"/>
        <v>330679.38900973159</v>
      </c>
      <c r="G14" s="93">
        <f t="shared" si="2"/>
        <v>0</v>
      </c>
      <c r="H14" s="146">
        <f>epargne_mensuelle!G14</f>
        <v>300000</v>
      </c>
      <c r="I14" s="93">
        <f t="shared" si="3"/>
        <v>676754.24324791168</v>
      </c>
      <c r="J14" s="93">
        <f t="shared" si="4"/>
        <v>64300.413404715378</v>
      </c>
      <c r="K14" s="146">
        <f>epargne_mensuelle!H14</f>
        <v>0</v>
      </c>
      <c r="L14" s="93">
        <f t="shared" si="5"/>
        <v>449227.70121997397</v>
      </c>
      <c r="M14" s="93">
        <f t="shared" si="6"/>
        <v>17383.713103842958</v>
      </c>
      <c r="N14" s="146">
        <f>epargne_mensuelle!I14</f>
        <v>0</v>
      </c>
      <c r="O14" s="93">
        <f t="shared" si="7"/>
        <v>353644.7121547389</v>
      </c>
      <c r="P14" s="93">
        <f t="shared" si="8"/>
        <v>5591.3949141659887</v>
      </c>
      <c r="Q14" s="137">
        <f>epargne_mensuelle!J14</f>
        <v>0</v>
      </c>
      <c r="R14" s="93">
        <f t="shared" si="9"/>
        <v>515304.98806931754</v>
      </c>
      <c r="S14" s="93">
        <f t="shared" si="10"/>
        <v>42821.631730370151</v>
      </c>
      <c r="T14" s="137">
        <f>epargne_mensuelle!K14</f>
        <v>0</v>
      </c>
      <c r="U14" s="93">
        <f t="shared" si="11"/>
        <v>657074.09925596369</v>
      </c>
      <c r="V14" s="93">
        <f t="shared" si="12"/>
        <v>0</v>
      </c>
      <c r="W14" s="137">
        <f>epargne_mensuelle!L14</f>
        <v>0</v>
      </c>
      <c r="X14" s="93">
        <f t="shared" si="13"/>
        <v>657074.09925596369</v>
      </c>
      <c r="Y14" s="93">
        <f t="shared" si="14"/>
        <v>0</v>
      </c>
      <c r="Z14" s="137">
        <f>epargne_mensuelle!M14</f>
        <v>0</v>
      </c>
      <c r="AA14" s="93">
        <f t="shared" si="15"/>
        <v>657074.09925596369</v>
      </c>
      <c r="AB14" s="93">
        <f t="shared" si="16"/>
        <v>0</v>
      </c>
      <c r="AC14" s="137">
        <f>epargne_mensuelle!N14</f>
        <v>0</v>
      </c>
      <c r="AD14" s="93">
        <f t="shared" si="17"/>
        <v>657074.09925596369</v>
      </c>
      <c r="AE14" s="93">
        <f t="shared" si="18"/>
        <v>0</v>
      </c>
      <c r="AF14" s="137">
        <f>epargne_mensuelle!O14</f>
        <v>0</v>
      </c>
      <c r="AG14" s="93">
        <f t="shared" si="19"/>
        <v>657074.09925596369</v>
      </c>
      <c r="AH14" s="93">
        <f t="shared" si="20"/>
        <v>0</v>
      </c>
      <c r="AI14" s="137">
        <f>epargne_mensuelle!P14</f>
        <v>0</v>
      </c>
      <c r="AJ14" s="93">
        <f t="shared" si="21"/>
        <v>657074.09925596369</v>
      </c>
      <c r="AK14" s="93">
        <f t="shared" si="22"/>
        <v>0</v>
      </c>
      <c r="AL14" s="137">
        <f>epargne_mensuelle!Q14</f>
        <v>0</v>
      </c>
      <c r="AM14" s="93">
        <f t="shared" si="23"/>
        <v>657074.09925596369</v>
      </c>
      <c r="AN14" s="93">
        <f t="shared" si="24"/>
        <v>0</v>
      </c>
      <c r="AO14" s="137">
        <f>epargne_mensuelle!R14</f>
        <v>0</v>
      </c>
      <c r="AP14" s="93">
        <f t="shared" si="25"/>
        <v>657074.09925596369</v>
      </c>
      <c r="AQ14" s="93">
        <f t="shared" si="26"/>
        <v>0</v>
      </c>
      <c r="AR14" s="137">
        <f>epargne_mensuelle!S14</f>
        <v>0</v>
      </c>
      <c r="AS14" s="93">
        <f t="shared" si="27"/>
        <v>657074.09925596369</v>
      </c>
      <c r="AT14" s="93">
        <f t="shared" si="28"/>
        <v>0</v>
      </c>
      <c r="AU14" s="137">
        <f>epargne_mensuelle!T14</f>
        <v>0</v>
      </c>
      <c r="AV14" s="93">
        <f t="shared" si="29"/>
        <v>657074.09925596369</v>
      </c>
      <c r="AW14" s="93">
        <f t="shared" si="30"/>
        <v>0</v>
      </c>
      <c r="AX14" s="137">
        <f>epargne_mensuelle!U14</f>
        <v>0</v>
      </c>
      <c r="AY14" s="93">
        <f t="shared" si="31"/>
        <v>657074.09925596369</v>
      </c>
      <c r="AZ14" s="93">
        <f t="shared" si="32"/>
        <v>0</v>
      </c>
      <c r="BA14" s="137">
        <f>epargne_mensuelle!V14</f>
        <v>0</v>
      </c>
      <c r="BB14" s="93">
        <f t="shared" si="33"/>
        <v>657074.09925596369</v>
      </c>
      <c r="BC14" s="93">
        <f t="shared" si="34"/>
        <v>0</v>
      </c>
      <c r="BD14" s="137">
        <f>epargne_mensuelle!W14</f>
        <v>0</v>
      </c>
      <c r="BE14" s="93">
        <f t="shared" si="35"/>
        <v>657074.09925596369</v>
      </c>
      <c r="BF14" s="93">
        <f t="shared" si="36"/>
        <v>0</v>
      </c>
      <c r="BG14" s="137">
        <f>epargne_mensuelle!X14</f>
        <v>0</v>
      </c>
      <c r="BH14" s="93">
        <f t="shared" si="37"/>
        <v>657074.09925596369</v>
      </c>
      <c r="BI14" s="93">
        <f t="shared" si="38"/>
        <v>0</v>
      </c>
      <c r="BJ14" s="137">
        <f>epargne_mensuelle!Y14</f>
        <v>0</v>
      </c>
      <c r="BK14" s="93">
        <f t="shared" si="39"/>
        <v>657074.09925596369</v>
      </c>
      <c r="BL14" s="93">
        <f t="shared" si="40"/>
        <v>0</v>
      </c>
      <c r="BM14" s="137">
        <f>epargne_mensuelle!Z14</f>
        <v>0</v>
      </c>
      <c r="BN14" s="93">
        <f t="shared" si="41"/>
        <v>657074.09925596369</v>
      </c>
      <c r="BO14" s="93">
        <f t="shared" si="42"/>
        <v>0</v>
      </c>
      <c r="BP14" s="137">
        <f>epargne_mensuelle!AA14</f>
        <v>0</v>
      </c>
      <c r="BQ14" s="93">
        <f t="shared" si="43"/>
        <v>657074.09925596369</v>
      </c>
      <c r="BR14" s="93">
        <f t="shared" si="44"/>
        <v>0</v>
      </c>
      <c r="BS14" s="137">
        <f>epargne_mensuelle!AB14</f>
        <v>0</v>
      </c>
      <c r="BT14" s="93">
        <f t="shared" si="45"/>
        <v>657074.09925596369</v>
      </c>
      <c r="BU14" s="93">
        <f t="shared" si="46"/>
        <v>0</v>
      </c>
      <c r="BV14" s="94">
        <f>cumul_epargne!C14</f>
        <v>2508778.2072738009</v>
      </c>
      <c r="BW14" s="95">
        <f t="shared" si="50"/>
        <v>409287.04427369946</v>
      </c>
      <c r="BX14" s="134">
        <f t="shared" si="53"/>
        <v>2918065.2515475005</v>
      </c>
      <c r="BY14" s="135"/>
      <c r="BZ14" s="135">
        <f t="shared" si="51"/>
        <v>2918065.2515475005</v>
      </c>
      <c r="CA14" s="96">
        <f t="shared" si="52"/>
        <v>0.16314198006305905</v>
      </c>
      <c r="CB14" s="113">
        <f t="shared" si="47"/>
        <v>6.4321597729377872E-2</v>
      </c>
      <c r="CC14" s="119">
        <f t="shared" si="48"/>
        <v>278435.52392929245</v>
      </c>
      <c r="CD14" s="8" t="str">
        <f t="shared" si="49"/>
        <v>ACTIONNIRE13</v>
      </c>
    </row>
    <row r="15" spans="1:82" ht="18.5" thickBot="1" x14ac:dyDescent="0.45">
      <c r="A15" s="81">
        <f>epargne_mensuelle!A15</f>
        <v>14</v>
      </c>
      <c r="B15" s="81" t="str">
        <f>epargne_mensuelle!B15</f>
        <v>ACTIONNIRE14</v>
      </c>
      <c r="C15" s="146">
        <f>SUM(epargne_mensuelle!C15:E15)</f>
        <v>514154.3614610465</v>
      </c>
      <c r="D15" s="93">
        <f t="shared" si="0"/>
        <v>64989.187109314698</v>
      </c>
      <c r="E15" s="146">
        <f>epargne_mensuelle!F15</f>
        <v>0</v>
      </c>
      <c r="F15" s="93">
        <f t="shared" si="1"/>
        <v>76974.795180760164</v>
      </c>
      <c r="G15" s="93">
        <f t="shared" si="2"/>
        <v>0</v>
      </c>
      <c r="H15" s="146">
        <f>epargne_mensuelle!G15</f>
        <v>0</v>
      </c>
      <c r="I15" s="93">
        <f t="shared" si="3"/>
        <v>87699.994832870696</v>
      </c>
      <c r="J15" s="93">
        <f t="shared" si="4"/>
        <v>8332.6347482969995</v>
      </c>
      <c r="K15" s="146">
        <f>epargne_mensuelle!H15</f>
        <v>0</v>
      </c>
      <c r="L15" s="93">
        <f t="shared" si="5"/>
        <v>74632.29531397167</v>
      </c>
      <c r="M15" s="93">
        <f t="shared" si="6"/>
        <v>2888.037417318737</v>
      </c>
      <c r="N15" s="146">
        <f>epargne_mensuelle!I15</f>
        <v>0</v>
      </c>
      <c r="O15" s="93">
        <f t="shared" si="7"/>
        <v>65396.563930246986</v>
      </c>
      <c r="P15" s="93">
        <f t="shared" si="8"/>
        <v>1033.9699771999378</v>
      </c>
      <c r="Q15" s="137">
        <f>epargne_mensuelle!J15</f>
        <v>0</v>
      </c>
      <c r="R15" s="93">
        <f t="shared" si="9"/>
        <v>101214.18437187298</v>
      </c>
      <c r="S15" s="93">
        <f t="shared" si="10"/>
        <v>8410.8569282452027</v>
      </c>
      <c r="T15" s="137">
        <f>epargne_mensuelle!K15</f>
        <v>0</v>
      </c>
      <c r="U15" s="93">
        <f t="shared" si="11"/>
        <v>131424.79769023106</v>
      </c>
      <c r="V15" s="93">
        <f t="shared" si="12"/>
        <v>0</v>
      </c>
      <c r="W15" s="137">
        <f>epargne_mensuelle!L15</f>
        <v>0</v>
      </c>
      <c r="X15" s="93">
        <f t="shared" si="13"/>
        <v>131424.79769023106</v>
      </c>
      <c r="Y15" s="93">
        <f t="shared" si="14"/>
        <v>0</v>
      </c>
      <c r="Z15" s="137">
        <f>epargne_mensuelle!M15</f>
        <v>0</v>
      </c>
      <c r="AA15" s="93">
        <f t="shared" si="15"/>
        <v>131424.79769023106</v>
      </c>
      <c r="AB15" s="93">
        <f t="shared" si="16"/>
        <v>0</v>
      </c>
      <c r="AC15" s="137">
        <f>epargne_mensuelle!N15</f>
        <v>0</v>
      </c>
      <c r="AD15" s="93">
        <f t="shared" si="17"/>
        <v>131424.79769023106</v>
      </c>
      <c r="AE15" s="93">
        <f t="shared" si="18"/>
        <v>0</v>
      </c>
      <c r="AF15" s="137">
        <f>epargne_mensuelle!O15</f>
        <v>0</v>
      </c>
      <c r="AG15" s="93">
        <f t="shared" si="19"/>
        <v>131424.79769023106</v>
      </c>
      <c r="AH15" s="93">
        <f t="shared" si="20"/>
        <v>0</v>
      </c>
      <c r="AI15" s="137">
        <f>epargne_mensuelle!P15</f>
        <v>0</v>
      </c>
      <c r="AJ15" s="93">
        <f t="shared" si="21"/>
        <v>131424.79769023106</v>
      </c>
      <c r="AK15" s="93">
        <f t="shared" si="22"/>
        <v>0</v>
      </c>
      <c r="AL15" s="137">
        <f>epargne_mensuelle!Q15</f>
        <v>0</v>
      </c>
      <c r="AM15" s="93">
        <f t="shared" si="23"/>
        <v>131424.79769023106</v>
      </c>
      <c r="AN15" s="93">
        <f t="shared" si="24"/>
        <v>0</v>
      </c>
      <c r="AO15" s="137">
        <f>epargne_mensuelle!R15</f>
        <v>0</v>
      </c>
      <c r="AP15" s="93">
        <f t="shared" si="25"/>
        <v>131424.79769023106</v>
      </c>
      <c r="AQ15" s="93">
        <f t="shared" si="26"/>
        <v>0</v>
      </c>
      <c r="AR15" s="137">
        <f>epargne_mensuelle!S15</f>
        <v>0</v>
      </c>
      <c r="AS15" s="93">
        <f t="shared" si="27"/>
        <v>131424.79769023106</v>
      </c>
      <c r="AT15" s="93">
        <f t="shared" si="28"/>
        <v>0</v>
      </c>
      <c r="AU15" s="137">
        <f>epargne_mensuelle!T15</f>
        <v>0</v>
      </c>
      <c r="AV15" s="93">
        <f t="shared" si="29"/>
        <v>131424.79769023106</v>
      </c>
      <c r="AW15" s="93">
        <f t="shared" si="30"/>
        <v>0</v>
      </c>
      <c r="AX15" s="137">
        <f>epargne_mensuelle!U15</f>
        <v>0</v>
      </c>
      <c r="AY15" s="93">
        <f t="shared" si="31"/>
        <v>131424.79769023106</v>
      </c>
      <c r="AZ15" s="93">
        <f t="shared" si="32"/>
        <v>0</v>
      </c>
      <c r="BA15" s="137">
        <f>epargne_mensuelle!V15</f>
        <v>0</v>
      </c>
      <c r="BB15" s="93">
        <f t="shared" si="33"/>
        <v>131424.79769023106</v>
      </c>
      <c r="BC15" s="93">
        <f t="shared" si="34"/>
        <v>0</v>
      </c>
      <c r="BD15" s="137">
        <f>epargne_mensuelle!W15</f>
        <v>0</v>
      </c>
      <c r="BE15" s="93">
        <f t="shared" si="35"/>
        <v>131424.79769023106</v>
      </c>
      <c r="BF15" s="93">
        <f t="shared" si="36"/>
        <v>0</v>
      </c>
      <c r="BG15" s="137">
        <f>epargne_mensuelle!X15</f>
        <v>0</v>
      </c>
      <c r="BH15" s="93">
        <f t="shared" si="37"/>
        <v>131424.79769023106</v>
      </c>
      <c r="BI15" s="93">
        <f t="shared" si="38"/>
        <v>0</v>
      </c>
      <c r="BJ15" s="137">
        <f>epargne_mensuelle!Y15</f>
        <v>0</v>
      </c>
      <c r="BK15" s="93">
        <f t="shared" si="39"/>
        <v>131424.79769023106</v>
      </c>
      <c r="BL15" s="93">
        <f t="shared" si="40"/>
        <v>0</v>
      </c>
      <c r="BM15" s="137">
        <f>epargne_mensuelle!Z15</f>
        <v>0</v>
      </c>
      <c r="BN15" s="93">
        <f t="shared" si="41"/>
        <v>131424.79769023106</v>
      </c>
      <c r="BO15" s="93">
        <f t="shared" si="42"/>
        <v>0</v>
      </c>
      <c r="BP15" s="137">
        <f>epargne_mensuelle!AA15</f>
        <v>0</v>
      </c>
      <c r="BQ15" s="93">
        <f t="shared" si="43"/>
        <v>131424.79769023106</v>
      </c>
      <c r="BR15" s="93">
        <f t="shared" si="44"/>
        <v>0</v>
      </c>
      <c r="BS15" s="137">
        <f>epargne_mensuelle!AB15</f>
        <v>0</v>
      </c>
      <c r="BT15" s="93">
        <f t="shared" si="45"/>
        <v>131424.79769023106</v>
      </c>
      <c r="BU15" s="93">
        <f t="shared" si="46"/>
        <v>0</v>
      </c>
      <c r="BV15" s="94">
        <f>cumul_epargne!C15</f>
        <v>514154.3614610465</v>
      </c>
      <c r="BW15" s="95">
        <f t="shared" si="50"/>
        <v>85654.686180375575</v>
      </c>
      <c r="BX15" s="134">
        <f t="shared" si="53"/>
        <v>599809.04764142213</v>
      </c>
      <c r="BY15" s="135"/>
      <c r="BZ15" s="135">
        <f t="shared" si="51"/>
        <v>599809.04764142213</v>
      </c>
      <c r="CA15" s="96">
        <f t="shared" si="52"/>
        <v>0.16659332799779228</v>
      </c>
      <c r="CB15" s="113">
        <f t="shared" si="47"/>
        <v>1.322132061864374E-2</v>
      </c>
      <c r="CC15" s="119">
        <f t="shared" si="48"/>
        <v>57232.492093520523</v>
      </c>
      <c r="CD15" s="8" t="str">
        <f t="shared" si="49"/>
        <v>ACTIONNIRE14</v>
      </c>
    </row>
    <row r="16" spans="1:82" ht="18.5" thickBot="1" x14ac:dyDescent="0.45">
      <c r="A16" s="81">
        <f>epargne_mensuelle!A16</f>
        <v>15</v>
      </c>
      <c r="B16" s="81" t="str">
        <f>epargne_mensuelle!B16</f>
        <v>ACTIONNIRE15</v>
      </c>
      <c r="C16" s="146">
        <f>SUM(epargne_mensuelle!C16:E16)</f>
        <v>1117258.3836460027</v>
      </c>
      <c r="D16" s="93">
        <f t="shared" si="0"/>
        <v>141221.62445124306</v>
      </c>
      <c r="E16" s="146">
        <f>epargne_mensuelle!F16</f>
        <v>0</v>
      </c>
      <c r="F16" s="93">
        <f t="shared" si="1"/>
        <v>167266.37308055544</v>
      </c>
      <c r="G16" s="93">
        <f t="shared" si="2"/>
        <v>0</v>
      </c>
      <c r="H16" s="146">
        <f>epargne_mensuelle!G16</f>
        <v>0</v>
      </c>
      <c r="I16" s="93">
        <f t="shared" si="3"/>
        <v>190572.25187062679</v>
      </c>
      <c r="J16" s="93">
        <f t="shared" si="4"/>
        <v>18106.830804546506</v>
      </c>
      <c r="K16" s="146">
        <f>epargne_mensuelle!H16</f>
        <v>0</v>
      </c>
      <c r="L16" s="93">
        <f t="shared" si="5"/>
        <v>162176.11651359382</v>
      </c>
      <c r="M16" s="93">
        <f t="shared" si="6"/>
        <v>6275.7106788194933</v>
      </c>
      <c r="N16" s="146">
        <f>epargne_mensuelle!I16</f>
        <v>0</v>
      </c>
      <c r="O16" s="93">
        <f t="shared" si="7"/>
        <v>142106.85504074206</v>
      </c>
      <c r="P16" s="93">
        <f t="shared" si="8"/>
        <v>2246.818683366198</v>
      </c>
      <c r="Q16" s="137">
        <f>epargne_mensuelle!J16</f>
        <v>0</v>
      </c>
      <c r="R16" s="93">
        <f t="shared" si="9"/>
        <v>219938.61087169769</v>
      </c>
      <c r="S16" s="93">
        <f t="shared" si="10"/>
        <v>18276.807747046532</v>
      </c>
      <c r="T16" s="137">
        <f>epargne_mensuelle!K16</f>
        <v>0</v>
      </c>
      <c r="U16" s="93">
        <f t="shared" si="11"/>
        <v>285586.32979624165</v>
      </c>
      <c r="V16" s="93">
        <f t="shared" si="12"/>
        <v>0</v>
      </c>
      <c r="W16" s="137">
        <f>epargne_mensuelle!L16</f>
        <v>0</v>
      </c>
      <c r="X16" s="93">
        <f t="shared" si="13"/>
        <v>285586.32979624165</v>
      </c>
      <c r="Y16" s="93">
        <f t="shared" si="14"/>
        <v>0</v>
      </c>
      <c r="Z16" s="137">
        <f>epargne_mensuelle!M16</f>
        <v>0</v>
      </c>
      <c r="AA16" s="93">
        <f t="shared" si="15"/>
        <v>285586.32979624165</v>
      </c>
      <c r="AB16" s="93">
        <f t="shared" si="16"/>
        <v>0</v>
      </c>
      <c r="AC16" s="137">
        <f>epargne_mensuelle!N16</f>
        <v>0</v>
      </c>
      <c r="AD16" s="93">
        <f t="shared" si="17"/>
        <v>285586.32979624165</v>
      </c>
      <c r="AE16" s="93">
        <f t="shared" si="18"/>
        <v>0</v>
      </c>
      <c r="AF16" s="137">
        <f>epargne_mensuelle!O16</f>
        <v>0</v>
      </c>
      <c r="AG16" s="93">
        <f t="shared" si="19"/>
        <v>285586.32979624165</v>
      </c>
      <c r="AH16" s="93">
        <f t="shared" si="20"/>
        <v>0</v>
      </c>
      <c r="AI16" s="137">
        <f>epargne_mensuelle!P16</f>
        <v>0</v>
      </c>
      <c r="AJ16" s="93">
        <f t="shared" si="21"/>
        <v>285586.32979624165</v>
      </c>
      <c r="AK16" s="93">
        <f t="shared" si="22"/>
        <v>0</v>
      </c>
      <c r="AL16" s="137">
        <f>epargne_mensuelle!Q16</f>
        <v>0</v>
      </c>
      <c r="AM16" s="93">
        <f t="shared" si="23"/>
        <v>285586.32979624165</v>
      </c>
      <c r="AN16" s="93">
        <f t="shared" si="24"/>
        <v>0</v>
      </c>
      <c r="AO16" s="137">
        <f>epargne_mensuelle!R16</f>
        <v>0</v>
      </c>
      <c r="AP16" s="93">
        <f t="shared" si="25"/>
        <v>285586.32979624165</v>
      </c>
      <c r="AQ16" s="93">
        <f t="shared" si="26"/>
        <v>0</v>
      </c>
      <c r="AR16" s="137">
        <f>epargne_mensuelle!S16</f>
        <v>0</v>
      </c>
      <c r="AS16" s="93">
        <f t="shared" si="27"/>
        <v>285586.32979624165</v>
      </c>
      <c r="AT16" s="93">
        <f t="shared" si="28"/>
        <v>0</v>
      </c>
      <c r="AU16" s="137">
        <f>epargne_mensuelle!T16</f>
        <v>0</v>
      </c>
      <c r="AV16" s="93">
        <f t="shared" si="29"/>
        <v>285586.32979624165</v>
      </c>
      <c r="AW16" s="93">
        <f t="shared" si="30"/>
        <v>0</v>
      </c>
      <c r="AX16" s="137">
        <f>epargne_mensuelle!U16</f>
        <v>0</v>
      </c>
      <c r="AY16" s="93">
        <f t="shared" si="31"/>
        <v>285586.32979624165</v>
      </c>
      <c r="AZ16" s="93">
        <f t="shared" si="32"/>
        <v>0</v>
      </c>
      <c r="BA16" s="137">
        <f>epargne_mensuelle!V16</f>
        <v>0</v>
      </c>
      <c r="BB16" s="93">
        <f t="shared" si="33"/>
        <v>285586.32979624165</v>
      </c>
      <c r="BC16" s="93">
        <f t="shared" si="34"/>
        <v>0</v>
      </c>
      <c r="BD16" s="137">
        <f>epargne_mensuelle!W16</f>
        <v>0</v>
      </c>
      <c r="BE16" s="93">
        <f t="shared" si="35"/>
        <v>285586.32979624165</v>
      </c>
      <c r="BF16" s="93">
        <f t="shared" si="36"/>
        <v>0</v>
      </c>
      <c r="BG16" s="137">
        <f>epargne_mensuelle!X16</f>
        <v>0</v>
      </c>
      <c r="BH16" s="93">
        <f t="shared" si="37"/>
        <v>285586.32979624165</v>
      </c>
      <c r="BI16" s="93">
        <f t="shared" si="38"/>
        <v>0</v>
      </c>
      <c r="BJ16" s="137">
        <f>epargne_mensuelle!Y16</f>
        <v>0</v>
      </c>
      <c r="BK16" s="93">
        <f t="shared" si="39"/>
        <v>285586.32979624165</v>
      </c>
      <c r="BL16" s="93">
        <f t="shared" si="40"/>
        <v>0</v>
      </c>
      <c r="BM16" s="137">
        <f>epargne_mensuelle!Z16</f>
        <v>0</v>
      </c>
      <c r="BN16" s="93">
        <f t="shared" si="41"/>
        <v>285586.32979624165</v>
      </c>
      <c r="BO16" s="93">
        <f t="shared" si="42"/>
        <v>0</v>
      </c>
      <c r="BP16" s="137">
        <f>epargne_mensuelle!AA16</f>
        <v>0</v>
      </c>
      <c r="BQ16" s="93">
        <f t="shared" si="43"/>
        <v>285586.32979624165</v>
      </c>
      <c r="BR16" s="93">
        <f t="shared" si="44"/>
        <v>0</v>
      </c>
      <c r="BS16" s="137">
        <f>epargne_mensuelle!AB16</f>
        <v>0</v>
      </c>
      <c r="BT16" s="93">
        <f t="shared" si="45"/>
        <v>285586.32979624165</v>
      </c>
      <c r="BU16" s="93">
        <f t="shared" si="46"/>
        <v>0</v>
      </c>
      <c r="BV16" s="94">
        <f>cumul_epargne!C16</f>
        <v>1117258.3836460027</v>
      </c>
      <c r="BW16" s="95">
        <f t="shared" si="50"/>
        <v>186127.79236502177</v>
      </c>
      <c r="BX16" s="134">
        <f t="shared" si="53"/>
        <v>1303386.1760110245</v>
      </c>
      <c r="BY16" s="135"/>
      <c r="BZ16" s="135">
        <f t="shared" si="51"/>
        <v>1303386.1760110245</v>
      </c>
      <c r="CA16" s="96">
        <f t="shared" si="52"/>
        <v>0.16659332799779228</v>
      </c>
      <c r="CB16" s="113">
        <f t="shared" si="47"/>
        <v>2.8729954292472933E-2</v>
      </c>
      <c r="CC16" s="119">
        <f t="shared" si="48"/>
        <v>124366.31175652075</v>
      </c>
      <c r="CD16" s="8" t="str">
        <f t="shared" si="49"/>
        <v>ACTIONNIRE15</v>
      </c>
    </row>
    <row r="17" spans="1:82" ht="18.5" thickBot="1" x14ac:dyDescent="0.45">
      <c r="A17" s="81">
        <f>epargne_mensuelle!A17</f>
        <v>16</v>
      </c>
      <c r="B17" s="81" t="str">
        <f>epargne_mensuelle!B17</f>
        <v>ACTIONNIRE16</v>
      </c>
      <c r="C17" s="146">
        <f>SUM(epargne_mensuelle!C17:E17)</f>
        <v>99669.598090254542</v>
      </c>
      <c r="D17" s="93">
        <f t="shared" si="0"/>
        <v>12598.251896553236</v>
      </c>
      <c r="E17" s="146">
        <f>epargne_mensuelle!F17</f>
        <v>0</v>
      </c>
      <c r="F17" s="93">
        <f t="shared" si="1"/>
        <v>14921.680090284102</v>
      </c>
      <c r="G17" s="93">
        <f t="shared" si="2"/>
        <v>0</v>
      </c>
      <c r="H17" s="146">
        <f>epargne_mensuelle!G17</f>
        <v>0</v>
      </c>
      <c r="I17" s="93">
        <f t="shared" si="3"/>
        <v>17000.776211779481</v>
      </c>
      <c r="J17" s="93">
        <f t="shared" si="4"/>
        <v>1615.293807944432</v>
      </c>
      <c r="K17" s="146">
        <f>epargne_mensuelle!H17</f>
        <v>0</v>
      </c>
      <c r="L17" s="93">
        <f t="shared" si="5"/>
        <v>14467.582959636742</v>
      </c>
      <c r="M17" s="93">
        <f t="shared" si="6"/>
        <v>559.85040725086503</v>
      </c>
      <c r="N17" s="146">
        <f>epargne_mensuelle!I17</f>
        <v>0</v>
      </c>
      <c r="O17" s="93">
        <f t="shared" si="7"/>
        <v>12677.222507437928</v>
      </c>
      <c r="P17" s="93">
        <f t="shared" si="8"/>
        <v>200.43663885697714</v>
      </c>
      <c r="Q17" s="137">
        <f>epargne_mensuelle!J17</f>
        <v>0</v>
      </c>
      <c r="R17" s="93">
        <f t="shared" si="9"/>
        <v>19620.522227431866</v>
      </c>
      <c r="S17" s="93">
        <f t="shared" si="10"/>
        <v>1630.4572954523971</v>
      </c>
      <c r="T17" s="137">
        <f>epargne_mensuelle!K17</f>
        <v>0</v>
      </c>
      <c r="U17" s="93">
        <f t="shared" si="11"/>
        <v>25476.895163653604</v>
      </c>
      <c r="V17" s="93">
        <f t="shared" si="12"/>
        <v>0</v>
      </c>
      <c r="W17" s="137">
        <f>epargne_mensuelle!L17</f>
        <v>0</v>
      </c>
      <c r="X17" s="93">
        <f t="shared" si="13"/>
        <v>25476.895163653604</v>
      </c>
      <c r="Y17" s="93">
        <f t="shared" si="14"/>
        <v>0</v>
      </c>
      <c r="Z17" s="137">
        <f>epargne_mensuelle!M17</f>
        <v>0</v>
      </c>
      <c r="AA17" s="93">
        <f t="shared" si="15"/>
        <v>25476.895163653604</v>
      </c>
      <c r="AB17" s="93">
        <f t="shared" si="16"/>
        <v>0</v>
      </c>
      <c r="AC17" s="137">
        <f>epargne_mensuelle!N17</f>
        <v>0</v>
      </c>
      <c r="AD17" s="93">
        <f t="shared" si="17"/>
        <v>25476.895163653604</v>
      </c>
      <c r="AE17" s="93">
        <f t="shared" si="18"/>
        <v>0</v>
      </c>
      <c r="AF17" s="137">
        <f>epargne_mensuelle!O17</f>
        <v>0</v>
      </c>
      <c r="AG17" s="93">
        <f t="shared" si="19"/>
        <v>25476.895163653604</v>
      </c>
      <c r="AH17" s="93">
        <f t="shared" si="20"/>
        <v>0</v>
      </c>
      <c r="AI17" s="137">
        <f>epargne_mensuelle!P17</f>
        <v>0</v>
      </c>
      <c r="AJ17" s="93">
        <f t="shared" si="21"/>
        <v>25476.895163653604</v>
      </c>
      <c r="AK17" s="93">
        <f t="shared" si="22"/>
        <v>0</v>
      </c>
      <c r="AL17" s="137">
        <f>epargne_mensuelle!Q17</f>
        <v>0</v>
      </c>
      <c r="AM17" s="93">
        <f t="shared" si="23"/>
        <v>25476.895163653604</v>
      </c>
      <c r="AN17" s="93">
        <f t="shared" si="24"/>
        <v>0</v>
      </c>
      <c r="AO17" s="137">
        <f>epargne_mensuelle!R17</f>
        <v>0</v>
      </c>
      <c r="AP17" s="93">
        <f t="shared" si="25"/>
        <v>25476.895163653604</v>
      </c>
      <c r="AQ17" s="93">
        <f t="shared" si="26"/>
        <v>0</v>
      </c>
      <c r="AR17" s="137">
        <f>epargne_mensuelle!S17</f>
        <v>0</v>
      </c>
      <c r="AS17" s="93">
        <f t="shared" si="27"/>
        <v>25476.895163653604</v>
      </c>
      <c r="AT17" s="93">
        <f t="shared" si="28"/>
        <v>0</v>
      </c>
      <c r="AU17" s="137">
        <f>epargne_mensuelle!T17</f>
        <v>0</v>
      </c>
      <c r="AV17" s="93">
        <f t="shared" si="29"/>
        <v>25476.895163653604</v>
      </c>
      <c r="AW17" s="93">
        <f t="shared" si="30"/>
        <v>0</v>
      </c>
      <c r="AX17" s="137">
        <f>epargne_mensuelle!U17</f>
        <v>0</v>
      </c>
      <c r="AY17" s="93">
        <f t="shared" si="31"/>
        <v>25476.895163653604</v>
      </c>
      <c r="AZ17" s="93">
        <f t="shared" si="32"/>
        <v>0</v>
      </c>
      <c r="BA17" s="137">
        <f>epargne_mensuelle!V17</f>
        <v>0</v>
      </c>
      <c r="BB17" s="93">
        <f t="shared" si="33"/>
        <v>25476.895163653604</v>
      </c>
      <c r="BC17" s="93">
        <f t="shared" si="34"/>
        <v>0</v>
      </c>
      <c r="BD17" s="137">
        <f>epargne_mensuelle!W17</f>
        <v>0</v>
      </c>
      <c r="BE17" s="93">
        <f t="shared" si="35"/>
        <v>25476.895163653604</v>
      </c>
      <c r="BF17" s="93">
        <f t="shared" si="36"/>
        <v>0</v>
      </c>
      <c r="BG17" s="137">
        <f>epargne_mensuelle!X17</f>
        <v>0</v>
      </c>
      <c r="BH17" s="93">
        <f t="shared" si="37"/>
        <v>25476.895163653604</v>
      </c>
      <c r="BI17" s="93">
        <f t="shared" si="38"/>
        <v>0</v>
      </c>
      <c r="BJ17" s="137">
        <f>epargne_mensuelle!Y17</f>
        <v>0</v>
      </c>
      <c r="BK17" s="93">
        <f t="shared" si="39"/>
        <v>25476.895163653604</v>
      </c>
      <c r="BL17" s="93">
        <f t="shared" si="40"/>
        <v>0</v>
      </c>
      <c r="BM17" s="137">
        <f>epargne_mensuelle!Z17</f>
        <v>0</v>
      </c>
      <c r="BN17" s="93">
        <f t="shared" si="41"/>
        <v>25476.895163653604</v>
      </c>
      <c r="BO17" s="93">
        <f t="shared" si="42"/>
        <v>0</v>
      </c>
      <c r="BP17" s="137">
        <f>epargne_mensuelle!AA17</f>
        <v>0</v>
      </c>
      <c r="BQ17" s="93">
        <f t="shared" si="43"/>
        <v>25476.895163653604</v>
      </c>
      <c r="BR17" s="93">
        <f t="shared" si="44"/>
        <v>0</v>
      </c>
      <c r="BS17" s="137">
        <f>epargne_mensuelle!AB17</f>
        <v>0</v>
      </c>
      <c r="BT17" s="93">
        <f t="shared" si="45"/>
        <v>25476.895163653604</v>
      </c>
      <c r="BU17" s="93">
        <f t="shared" si="46"/>
        <v>0</v>
      </c>
      <c r="BV17" s="94">
        <f>cumul_epargne!C17</f>
        <v>99669.598090254542</v>
      </c>
      <c r="BW17" s="95">
        <f t="shared" si="50"/>
        <v>16604.290046057908</v>
      </c>
      <c r="BX17" s="134">
        <f t="shared" si="53"/>
        <v>116273.88813631245</v>
      </c>
      <c r="BY17" s="135"/>
      <c r="BZ17" s="135">
        <f t="shared" si="51"/>
        <v>116273.88813631245</v>
      </c>
      <c r="CA17" s="96">
        <f t="shared" si="52"/>
        <v>0.16659332799779231</v>
      </c>
      <c r="CB17" s="113">
        <f t="shared" si="47"/>
        <v>2.5629729339220119E-3</v>
      </c>
      <c r="CC17" s="119">
        <f t="shared" si="48"/>
        <v>11094.604874020959</v>
      </c>
      <c r="CD17" s="8" t="str">
        <f t="shared" si="49"/>
        <v>ACTIONNIRE16</v>
      </c>
    </row>
    <row r="18" spans="1:82" ht="18.5" thickBot="1" x14ac:dyDescent="0.45">
      <c r="A18" s="81">
        <f>epargne_mensuelle!A18</f>
        <v>17</v>
      </c>
      <c r="B18" s="81" t="str">
        <f>epargne_mensuelle!B18</f>
        <v>ACTIONNIRE17</v>
      </c>
      <c r="C18" s="146">
        <f>SUM(epargne_mensuelle!C18:E18)</f>
        <v>1118757.7047353941</v>
      </c>
      <c r="D18" s="93">
        <f t="shared" si="0"/>
        <v>141411.13885804202</v>
      </c>
      <c r="E18" s="146">
        <f>epargne_mensuelle!F18</f>
        <v>0</v>
      </c>
      <c r="F18" s="93">
        <f t="shared" si="1"/>
        <v>167490.83861545479</v>
      </c>
      <c r="G18" s="93">
        <f t="shared" si="2"/>
        <v>0</v>
      </c>
      <c r="H18" s="146">
        <f>epargne_mensuelle!G18</f>
        <v>0</v>
      </c>
      <c r="I18" s="93">
        <f t="shared" si="3"/>
        <v>190827.99306752899</v>
      </c>
      <c r="J18" s="93">
        <f t="shared" si="4"/>
        <v>18131.129528713358</v>
      </c>
      <c r="K18" s="146">
        <f>epargne_mensuelle!H18</f>
        <v>0</v>
      </c>
      <c r="L18" s="93">
        <f t="shared" si="5"/>
        <v>162393.75110487881</v>
      </c>
      <c r="M18" s="93">
        <f t="shared" si="6"/>
        <v>6284.1324597695457</v>
      </c>
      <c r="N18" s="146">
        <f>epargne_mensuelle!I18</f>
        <v>0</v>
      </c>
      <c r="O18" s="93">
        <f t="shared" si="7"/>
        <v>142297.55739556745</v>
      </c>
      <c r="P18" s="93">
        <f t="shared" si="8"/>
        <v>2249.8338342796483</v>
      </c>
      <c r="Q18" s="137">
        <f>epargne_mensuelle!J18</f>
        <v>0</v>
      </c>
      <c r="R18" s="93">
        <f t="shared" si="9"/>
        <v>220233.76067990524</v>
      </c>
      <c r="S18" s="93">
        <f t="shared" si="10"/>
        <v>18301.334574236207</v>
      </c>
      <c r="T18" s="137">
        <f>epargne_mensuelle!K18</f>
        <v>0</v>
      </c>
      <c r="U18" s="93">
        <f t="shared" si="11"/>
        <v>285969.57651282311</v>
      </c>
      <c r="V18" s="93">
        <f t="shared" si="12"/>
        <v>0</v>
      </c>
      <c r="W18" s="137">
        <f>epargne_mensuelle!L18</f>
        <v>0</v>
      </c>
      <c r="X18" s="93">
        <f t="shared" si="13"/>
        <v>285969.57651282311</v>
      </c>
      <c r="Y18" s="93">
        <f t="shared" si="14"/>
        <v>0</v>
      </c>
      <c r="Z18" s="137">
        <f>epargne_mensuelle!M18</f>
        <v>0</v>
      </c>
      <c r="AA18" s="93">
        <f t="shared" si="15"/>
        <v>285969.57651282311</v>
      </c>
      <c r="AB18" s="93">
        <f t="shared" si="16"/>
        <v>0</v>
      </c>
      <c r="AC18" s="137">
        <f>epargne_mensuelle!N18</f>
        <v>0</v>
      </c>
      <c r="AD18" s="93">
        <f t="shared" si="17"/>
        <v>285969.57651282311</v>
      </c>
      <c r="AE18" s="93">
        <f t="shared" si="18"/>
        <v>0</v>
      </c>
      <c r="AF18" s="137">
        <f>epargne_mensuelle!O18</f>
        <v>0</v>
      </c>
      <c r="AG18" s="93">
        <f t="shared" si="19"/>
        <v>285969.57651282311</v>
      </c>
      <c r="AH18" s="93">
        <f t="shared" si="20"/>
        <v>0</v>
      </c>
      <c r="AI18" s="137">
        <f>epargne_mensuelle!P18</f>
        <v>0</v>
      </c>
      <c r="AJ18" s="93">
        <f t="shared" si="21"/>
        <v>285969.57651282311</v>
      </c>
      <c r="AK18" s="93">
        <f t="shared" si="22"/>
        <v>0</v>
      </c>
      <c r="AL18" s="137">
        <f>epargne_mensuelle!Q18</f>
        <v>0</v>
      </c>
      <c r="AM18" s="93">
        <f t="shared" si="23"/>
        <v>285969.57651282311</v>
      </c>
      <c r="AN18" s="93">
        <f t="shared" si="24"/>
        <v>0</v>
      </c>
      <c r="AO18" s="137">
        <f>epargne_mensuelle!R18</f>
        <v>0</v>
      </c>
      <c r="AP18" s="93">
        <f t="shared" si="25"/>
        <v>285969.57651282311</v>
      </c>
      <c r="AQ18" s="93">
        <f t="shared" si="26"/>
        <v>0</v>
      </c>
      <c r="AR18" s="137">
        <f>epargne_mensuelle!S18</f>
        <v>0</v>
      </c>
      <c r="AS18" s="93">
        <f t="shared" si="27"/>
        <v>285969.57651282311</v>
      </c>
      <c r="AT18" s="93">
        <f t="shared" si="28"/>
        <v>0</v>
      </c>
      <c r="AU18" s="137">
        <f>epargne_mensuelle!T18</f>
        <v>0</v>
      </c>
      <c r="AV18" s="93">
        <f t="shared" si="29"/>
        <v>285969.57651282311</v>
      </c>
      <c r="AW18" s="93">
        <f t="shared" si="30"/>
        <v>0</v>
      </c>
      <c r="AX18" s="137">
        <f>epargne_mensuelle!U18</f>
        <v>0</v>
      </c>
      <c r="AY18" s="93">
        <f t="shared" si="31"/>
        <v>285969.57651282311</v>
      </c>
      <c r="AZ18" s="93">
        <f t="shared" si="32"/>
        <v>0</v>
      </c>
      <c r="BA18" s="137">
        <f>epargne_mensuelle!V18</f>
        <v>0</v>
      </c>
      <c r="BB18" s="93">
        <f t="shared" si="33"/>
        <v>285969.57651282311</v>
      </c>
      <c r="BC18" s="93">
        <f t="shared" si="34"/>
        <v>0</v>
      </c>
      <c r="BD18" s="137">
        <f>epargne_mensuelle!W18</f>
        <v>0</v>
      </c>
      <c r="BE18" s="93">
        <f t="shared" si="35"/>
        <v>285969.57651282311</v>
      </c>
      <c r="BF18" s="93">
        <f t="shared" si="36"/>
        <v>0</v>
      </c>
      <c r="BG18" s="137">
        <f>epargne_mensuelle!X18</f>
        <v>0</v>
      </c>
      <c r="BH18" s="93">
        <f t="shared" si="37"/>
        <v>285969.57651282311</v>
      </c>
      <c r="BI18" s="93">
        <f t="shared" si="38"/>
        <v>0</v>
      </c>
      <c r="BJ18" s="137">
        <f>epargne_mensuelle!Y18</f>
        <v>0</v>
      </c>
      <c r="BK18" s="93">
        <f t="shared" si="39"/>
        <v>285969.57651282311</v>
      </c>
      <c r="BL18" s="93">
        <f t="shared" si="40"/>
        <v>0</v>
      </c>
      <c r="BM18" s="137">
        <f>epargne_mensuelle!Z18</f>
        <v>0</v>
      </c>
      <c r="BN18" s="93">
        <f t="shared" si="41"/>
        <v>285969.57651282311</v>
      </c>
      <c r="BO18" s="93">
        <f t="shared" si="42"/>
        <v>0</v>
      </c>
      <c r="BP18" s="137">
        <f>epargne_mensuelle!AA18</f>
        <v>0</v>
      </c>
      <c r="BQ18" s="93">
        <f t="shared" si="43"/>
        <v>285969.57651282311</v>
      </c>
      <c r="BR18" s="93">
        <f t="shared" si="44"/>
        <v>0</v>
      </c>
      <c r="BS18" s="137">
        <f>epargne_mensuelle!AB18</f>
        <v>0</v>
      </c>
      <c r="BT18" s="93">
        <f t="shared" si="45"/>
        <v>285969.57651282311</v>
      </c>
      <c r="BU18" s="93">
        <f t="shared" si="46"/>
        <v>0</v>
      </c>
      <c r="BV18" s="94">
        <f>cumul_epargne!C18</f>
        <v>1118757.7047353941</v>
      </c>
      <c r="BW18" s="95">
        <f t="shared" si="50"/>
        <v>186377.56925504078</v>
      </c>
      <c r="BX18" s="134">
        <f t="shared" si="53"/>
        <v>1305135.2739904348</v>
      </c>
      <c r="BY18" s="135"/>
      <c r="BZ18" s="135">
        <f t="shared" si="51"/>
        <v>1305135.2739904348</v>
      </c>
      <c r="CA18" s="96">
        <f t="shared" si="52"/>
        <v>0.16659332799779231</v>
      </c>
      <c r="CB18" s="113">
        <f t="shared" si="47"/>
        <v>2.8768508871251194E-2</v>
      </c>
      <c r="CC18" s="119">
        <f t="shared" si="48"/>
        <v>124533.20693202873</v>
      </c>
      <c r="CD18" s="8" t="str">
        <f t="shared" si="49"/>
        <v>ACTIONNIRE17</v>
      </c>
    </row>
    <row r="19" spans="1:82" ht="18.5" thickBot="1" x14ac:dyDescent="0.45">
      <c r="A19" s="81">
        <f>epargne_mensuelle!A19</f>
        <v>18</v>
      </c>
      <c r="B19" s="81" t="str">
        <f>epargne_mensuelle!B19</f>
        <v>ACTIONNIRE18</v>
      </c>
      <c r="C19" s="146">
        <f>SUM(epargne_mensuelle!C19:E19)</f>
        <v>299377.17569474981</v>
      </c>
      <c r="D19" s="93">
        <f t="shared" si="0"/>
        <v>37841.319155975551</v>
      </c>
      <c r="E19" s="146">
        <f>epargne_mensuelle!F19</f>
        <v>0</v>
      </c>
      <c r="F19" s="93">
        <f t="shared" si="1"/>
        <v>44820.191188135475</v>
      </c>
      <c r="G19" s="93">
        <f t="shared" si="2"/>
        <v>0</v>
      </c>
      <c r="H19" s="146">
        <f>epargne_mensuelle!G19</f>
        <v>0</v>
      </c>
      <c r="I19" s="93">
        <f t="shared" si="3"/>
        <v>51065.163945902168</v>
      </c>
      <c r="J19" s="93">
        <f t="shared" si="4"/>
        <v>4851.8515917132499</v>
      </c>
      <c r="K19" s="146">
        <f>epargne_mensuelle!H19</f>
        <v>400000</v>
      </c>
      <c r="L19" s="93">
        <f t="shared" si="5"/>
        <v>443456.22144140094</v>
      </c>
      <c r="M19" s="93">
        <f t="shared" si="6"/>
        <v>17160.374809292382</v>
      </c>
      <c r="N19" s="146">
        <f>epargne_mensuelle!I19</f>
        <v>0</v>
      </c>
      <c r="O19" s="93">
        <f t="shared" si="7"/>
        <v>227825.07749666733</v>
      </c>
      <c r="P19" s="93">
        <f t="shared" si="8"/>
        <v>3602.0897127876601</v>
      </c>
      <c r="Q19" s="137">
        <f>epargne_mensuelle!J19</f>
        <v>0</v>
      </c>
      <c r="R19" s="93">
        <f t="shared" si="9"/>
        <v>223850.67381615017</v>
      </c>
      <c r="S19" s="93">
        <f t="shared" si="10"/>
        <v>18601.898562373237</v>
      </c>
      <c r="T19" s="137">
        <f>epargne_mensuelle!K19</f>
        <v>0</v>
      </c>
      <c r="U19" s="93">
        <f t="shared" si="11"/>
        <v>242267.92111608849</v>
      </c>
      <c r="V19" s="93">
        <f t="shared" si="12"/>
        <v>0</v>
      </c>
      <c r="W19" s="137">
        <f>epargne_mensuelle!L19</f>
        <v>0</v>
      </c>
      <c r="X19" s="93">
        <f t="shared" si="13"/>
        <v>242267.92111608849</v>
      </c>
      <c r="Y19" s="93">
        <f t="shared" si="14"/>
        <v>0</v>
      </c>
      <c r="Z19" s="137">
        <f>epargne_mensuelle!M19</f>
        <v>0</v>
      </c>
      <c r="AA19" s="93">
        <f t="shared" si="15"/>
        <v>242267.92111608849</v>
      </c>
      <c r="AB19" s="93">
        <f t="shared" si="16"/>
        <v>0</v>
      </c>
      <c r="AC19" s="137">
        <f>epargne_mensuelle!N19</f>
        <v>0</v>
      </c>
      <c r="AD19" s="93">
        <f t="shared" si="17"/>
        <v>242267.92111608849</v>
      </c>
      <c r="AE19" s="93">
        <f t="shared" si="18"/>
        <v>0</v>
      </c>
      <c r="AF19" s="137">
        <f>epargne_mensuelle!O19</f>
        <v>0</v>
      </c>
      <c r="AG19" s="93">
        <f t="shared" si="19"/>
        <v>242267.92111608849</v>
      </c>
      <c r="AH19" s="93">
        <f t="shared" si="20"/>
        <v>0</v>
      </c>
      <c r="AI19" s="137">
        <f>epargne_mensuelle!P19</f>
        <v>0</v>
      </c>
      <c r="AJ19" s="93">
        <f t="shared" si="21"/>
        <v>242267.92111608849</v>
      </c>
      <c r="AK19" s="93">
        <f t="shared" si="22"/>
        <v>0</v>
      </c>
      <c r="AL19" s="137">
        <f>epargne_mensuelle!Q19</f>
        <v>0</v>
      </c>
      <c r="AM19" s="93">
        <f t="shared" si="23"/>
        <v>242267.92111608849</v>
      </c>
      <c r="AN19" s="93">
        <f t="shared" si="24"/>
        <v>0</v>
      </c>
      <c r="AO19" s="137">
        <f>epargne_mensuelle!R19</f>
        <v>0</v>
      </c>
      <c r="AP19" s="93">
        <f t="shared" si="25"/>
        <v>242267.92111608849</v>
      </c>
      <c r="AQ19" s="93">
        <f t="shared" si="26"/>
        <v>0</v>
      </c>
      <c r="AR19" s="137">
        <f>epargne_mensuelle!S19</f>
        <v>0</v>
      </c>
      <c r="AS19" s="93">
        <f t="shared" si="27"/>
        <v>242267.92111608849</v>
      </c>
      <c r="AT19" s="93">
        <f t="shared" si="28"/>
        <v>0</v>
      </c>
      <c r="AU19" s="137">
        <f>epargne_mensuelle!T19</f>
        <v>0</v>
      </c>
      <c r="AV19" s="93">
        <f t="shared" si="29"/>
        <v>242267.92111608849</v>
      </c>
      <c r="AW19" s="93">
        <f t="shared" si="30"/>
        <v>0</v>
      </c>
      <c r="AX19" s="137">
        <f>epargne_mensuelle!U19</f>
        <v>0</v>
      </c>
      <c r="AY19" s="93">
        <f t="shared" si="31"/>
        <v>242267.92111608849</v>
      </c>
      <c r="AZ19" s="93">
        <f t="shared" si="32"/>
        <v>0</v>
      </c>
      <c r="BA19" s="137">
        <f>epargne_mensuelle!V19</f>
        <v>0</v>
      </c>
      <c r="BB19" s="93">
        <f t="shared" si="33"/>
        <v>242267.92111608849</v>
      </c>
      <c r="BC19" s="93">
        <f t="shared" si="34"/>
        <v>0</v>
      </c>
      <c r="BD19" s="137">
        <f>epargne_mensuelle!W19</f>
        <v>0</v>
      </c>
      <c r="BE19" s="93">
        <f t="shared" si="35"/>
        <v>242267.92111608849</v>
      </c>
      <c r="BF19" s="93">
        <f t="shared" si="36"/>
        <v>0</v>
      </c>
      <c r="BG19" s="137">
        <f>epargne_mensuelle!X19</f>
        <v>0</v>
      </c>
      <c r="BH19" s="93">
        <f t="shared" si="37"/>
        <v>242267.92111608849</v>
      </c>
      <c r="BI19" s="93">
        <f t="shared" si="38"/>
        <v>0</v>
      </c>
      <c r="BJ19" s="137">
        <f>epargne_mensuelle!Y19</f>
        <v>0</v>
      </c>
      <c r="BK19" s="93">
        <f t="shared" si="39"/>
        <v>242267.92111608849</v>
      </c>
      <c r="BL19" s="93">
        <f t="shared" si="40"/>
        <v>0</v>
      </c>
      <c r="BM19" s="137">
        <f>epargne_mensuelle!Z19</f>
        <v>0</v>
      </c>
      <c r="BN19" s="93">
        <f t="shared" si="41"/>
        <v>242267.92111608849</v>
      </c>
      <c r="BO19" s="93">
        <f t="shared" si="42"/>
        <v>0</v>
      </c>
      <c r="BP19" s="137">
        <f>epargne_mensuelle!AA19</f>
        <v>0</v>
      </c>
      <c r="BQ19" s="93">
        <f t="shared" si="43"/>
        <v>242267.92111608849</v>
      </c>
      <c r="BR19" s="93">
        <f t="shared" si="44"/>
        <v>0</v>
      </c>
      <c r="BS19" s="137">
        <f>epargne_mensuelle!AB19</f>
        <v>0</v>
      </c>
      <c r="BT19" s="93">
        <f t="shared" si="45"/>
        <v>242267.92111608849</v>
      </c>
      <c r="BU19" s="93">
        <f t="shared" si="46"/>
        <v>0</v>
      </c>
      <c r="BV19" s="94">
        <f>cumul_epargne!C19</f>
        <v>699377.17569474981</v>
      </c>
      <c r="BW19" s="95">
        <f t="shared" si="50"/>
        <v>82057.533832142071</v>
      </c>
      <c r="BX19" s="134">
        <f t="shared" si="53"/>
        <v>781434.70952689182</v>
      </c>
      <c r="BY19" s="135"/>
      <c r="BZ19" s="135">
        <f t="shared" si="51"/>
        <v>781434.70952689182</v>
      </c>
      <c r="CA19" s="96">
        <f t="shared" si="52"/>
        <v>0.11732944208627835</v>
      </c>
      <c r="CB19" s="113">
        <f t="shared" si="47"/>
        <v>1.7224813259849682E-2</v>
      </c>
      <c r="CC19" s="119">
        <f t="shared" si="48"/>
        <v>74562.822969180896</v>
      </c>
      <c r="CD19" s="8" t="str">
        <f t="shared" si="49"/>
        <v>ACTIONNIRE18</v>
      </c>
    </row>
    <row r="20" spans="1:82" ht="18.5" thickBot="1" x14ac:dyDescent="0.45">
      <c r="A20" s="81">
        <f>epargne_mensuelle!A20</f>
        <v>19</v>
      </c>
      <c r="B20" s="81" t="str">
        <f>epargne_mensuelle!B20</f>
        <v>ACTIONNIRE19</v>
      </c>
      <c r="C20" s="146">
        <f>SUM(epargne_mensuelle!C20:E20)</f>
        <v>159938.42858418709</v>
      </c>
      <c r="D20" s="93">
        <f t="shared" si="0"/>
        <v>20216.240958630853</v>
      </c>
      <c r="E20" s="146">
        <f>epargne_mensuelle!F20</f>
        <v>500000</v>
      </c>
      <c r="F20" s="93">
        <f t="shared" si="1"/>
        <v>523944.6141170839</v>
      </c>
      <c r="G20" s="93">
        <f t="shared" si="2"/>
        <v>0</v>
      </c>
      <c r="H20" s="146">
        <f>epargne_mensuelle!G20</f>
        <v>0</v>
      </c>
      <c r="I20" s="93">
        <f t="shared" si="3"/>
        <v>537710.8523039046</v>
      </c>
      <c r="J20" s="93">
        <f t="shared" si="4"/>
        <v>51089.491407410707</v>
      </c>
      <c r="K20" s="146">
        <f>epargne_mensuelle!H20</f>
        <v>0</v>
      </c>
      <c r="L20" s="93">
        <f t="shared" si="5"/>
        <v>241134.12640077888</v>
      </c>
      <c r="M20" s="93">
        <f t="shared" si="6"/>
        <v>9331.1397794775276</v>
      </c>
      <c r="N20" s="146">
        <f>epargne_mensuelle!I20</f>
        <v>0</v>
      </c>
      <c r="O20" s="93">
        <f t="shared" si="7"/>
        <v>142965.6308996687</v>
      </c>
      <c r="P20" s="93">
        <f t="shared" si="8"/>
        <v>2260.3965902455466</v>
      </c>
      <c r="Q20" s="137">
        <f>epargne_mensuelle!J20</f>
        <v>0</v>
      </c>
      <c r="R20" s="93">
        <f t="shared" si="9"/>
        <v>166540.95226858594</v>
      </c>
      <c r="S20" s="93">
        <f t="shared" si="10"/>
        <v>13839.484365928982</v>
      </c>
      <c r="T20" s="137">
        <f>epargne_mensuelle!K20</f>
        <v>0</v>
      </c>
      <c r="U20" s="93">
        <f t="shared" si="11"/>
        <v>195678.8232735327</v>
      </c>
      <c r="V20" s="93">
        <f t="shared" si="12"/>
        <v>0</v>
      </c>
      <c r="W20" s="137">
        <f>epargne_mensuelle!L20</f>
        <v>0</v>
      </c>
      <c r="X20" s="93">
        <f t="shared" si="13"/>
        <v>195678.8232735327</v>
      </c>
      <c r="Y20" s="93">
        <f t="shared" si="14"/>
        <v>0</v>
      </c>
      <c r="Z20" s="137">
        <f>epargne_mensuelle!M20</f>
        <v>0</v>
      </c>
      <c r="AA20" s="93">
        <f t="shared" si="15"/>
        <v>195678.8232735327</v>
      </c>
      <c r="AB20" s="93">
        <f t="shared" si="16"/>
        <v>0</v>
      </c>
      <c r="AC20" s="137">
        <f>epargne_mensuelle!N20</f>
        <v>0</v>
      </c>
      <c r="AD20" s="93">
        <f t="shared" si="17"/>
        <v>195678.8232735327</v>
      </c>
      <c r="AE20" s="93">
        <f t="shared" si="18"/>
        <v>0</v>
      </c>
      <c r="AF20" s="137">
        <f>epargne_mensuelle!O20</f>
        <v>0</v>
      </c>
      <c r="AG20" s="93">
        <f t="shared" si="19"/>
        <v>195678.8232735327</v>
      </c>
      <c r="AH20" s="93">
        <f t="shared" si="20"/>
        <v>0</v>
      </c>
      <c r="AI20" s="137">
        <f>epargne_mensuelle!P20</f>
        <v>0</v>
      </c>
      <c r="AJ20" s="93">
        <f t="shared" si="21"/>
        <v>195678.8232735327</v>
      </c>
      <c r="AK20" s="93">
        <f t="shared" si="22"/>
        <v>0</v>
      </c>
      <c r="AL20" s="137">
        <f>epargne_mensuelle!Q20</f>
        <v>0</v>
      </c>
      <c r="AM20" s="93">
        <f t="shared" si="23"/>
        <v>195678.8232735327</v>
      </c>
      <c r="AN20" s="93">
        <f t="shared" si="24"/>
        <v>0</v>
      </c>
      <c r="AO20" s="137">
        <f>epargne_mensuelle!R20</f>
        <v>0</v>
      </c>
      <c r="AP20" s="93">
        <f t="shared" si="25"/>
        <v>195678.8232735327</v>
      </c>
      <c r="AQ20" s="93">
        <f t="shared" si="26"/>
        <v>0</v>
      </c>
      <c r="AR20" s="137">
        <f>epargne_mensuelle!S20</f>
        <v>0</v>
      </c>
      <c r="AS20" s="93">
        <f t="shared" si="27"/>
        <v>195678.8232735327</v>
      </c>
      <c r="AT20" s="93">
        <f t="shared" si="28"/>
        <v>0</v>
      </c>
      <c r="AU20" s="137">
        <f>epargne_mensuelle!T20</f>
        <v>0</v>
      </c>
      <c r="AV20" s="93">
        <f t="shared" si="29"/>
        <v>195678.8232735327</v>
      </c>
      <c r="AW20" s="93">
        <f t="shared" si="30"/>
        <v>0</v>
      </c>
      <c r="AX20" s="137">
        <f>epargne_mensuelle!U20</f>
        <v>0</v>
      </c>
      <c r="AY20" s="93">
        <f t="shared" si="31"/>
        <v>195678.8232735327</v>
      </c>
      <c r="AZ20" s="93">
        <f t="shared" si="32"/>
        <v>0</v>
      </c>
      <c r="BA20" s="137">
        <f>epargne_mensuelle!V20</f>
        <v>0</v>
      </c>
      <c r="BB20" s="93">
        <f t="shared" si="33"/>
        <v>195678.8232735327</v>
      </c>
      <c r="BC20" s="93">
        <f t="shared" si="34"/>
        <v>0</v>
      </c>
      <c r="BD20" s="137">
        <f>epargne_mensuelle!W20</f>
        <v>0</v>
      </c>
      <c r="BE20" s="93">
        <f t="shared" si="35"/>
        <v>195678.8232735327</v>
      </c>
      <c r="BF20" s="93">
        <f t="shared" si="36"/>
        <v>0</v>
      </c>
      <c r="BG20" s="137">
        <f>epargne_mensuelle!X20</f>
        <v>0</v>
      </c>
      <c r="BH20" s="93">
        <f t="shared" si="37"/>
        <v>195678.8232735327</v>
      </c>
      <c r="BI20" s="93">
        <f t="shared" si="38"/>
        <v>0</v>
      </c>
      <c r="BJ20" s="137">
        <f>epargne_mensuelle!Y20</f>
        <v>0</v>
      </c>
      <c r="BK20" s="93">
        <f t="shared" si="39"/>
        <v>195678.8232735327</v>
      </c>
      <c r="BL20" s="93">
        <f t="shared" si="40"/>
        <v>0</v>
      </c>
      <c r="BM20" s="137">
        <f>epargne_mensuelle!Z20</f>
        <v>0</v>
      </c>
      <c r="BN20" s="93">
        <f t="shared" si="41"/>
        <v>195678.8232735327</v>
      </c>
      <c r="BO20" s="93">
        <f t="shared" si="42"/>
        <v>0</v>
      </c>
      <c r="BP20" s="137">
        <f>epargne_mensuelle!AA20</f>
        <v>0</v>
      </c>
      <c r="BQ20" s="93">
        <f t="shared" si="43"/>
        <v>195678.8232735327</v>
      </c>
      <c r="BR20" s="93">
        <f t="shared" si="44"/>
        <v>0</v>
      </c>
      <c r="BS20" s="137">
        <f>epargne_mensuelle!AB20</f>
        <v>0</v>
      </c>
      <c r="BT20" s="93">
        <f t="shared" si="45"/>
        <v>195678.8232735327</v>
      </c>
      <c r="BU20" s="93">
        <f t="shared" si="46"/>
        <v>0</v>
      </c>
      <c r="BV20" s="94">
        <f>cumul_epargne!C20</f>
        <v>659938.42858418706</v>
      </c>
      <c r="BW20" s="95">
        <f t="shared" si="50"/>
        <v>96736.753101693612</v>
      </c>
      <c r="BX20" s="134">
        <f t="shared" si="53"/>
        <v>756675.18168588064</v>
      </c>
      <c r="BY20" s="135"/>
      <c r="BZ20" s="135">
        <f t="shared" si="51"/>
        <v>756675.18168588064</v>
      </c>
      <c r="CA20" s="96">
        <f t="shared" si="52"/>
        <v>0.1465845129055901</v>
      </c>
      <c r="CB20" s="113">
        <f t="shared" si="47"/>
        <v>1.6679050142004978E-2</v>
      </c>
      <c r="CC20" s="119">
        <f t="shared" si="48"/>
        <v>72200.321958280649</v>
      </c>
      <c r="CD20" s="8" t="str">
        <f t="shared" si="49"/>
        <v>ACTIONNIRE19</v>
      </c>
    </row>
    <row r="21" spans="1:82" ht="18.5" thickBot="1" x14ac:dyDescent="0.45">
      <c r="A21" s="81">
        <f>epargne_mensuelle!A21</f>
        <v>20</v>
      </c>
      <c r="B21" s="81" t="str">
        <f>epargne_mensuelle!B21</f>
        <v>ACTIONNIRE20</v>
      </c>
      <c r="C21" s="146">
        <f>SUM(epargne_mensuelle!C21:E21)</f>
        <v>218369.91325211144</v>
      </c>
      <c r="D21" s="93">
        <f t="shared" si="0"/>
        <v>27601.98923735374</v>
      </c>
      <c r="E21" s="146">
        <f>epargne_mensuelle!F21</f>
        <v>0</v>
      </c>
      <c r="F21" s="93">
        <f t="shared" si="1"/>
        <v>32692.476435396584</v>
      </c>
      <c r="G21" s="93">
        <f t="shared" si="2"/>
        <v>0</v>
      </c>
      <c r="H21" s="146">
        <f>epargne_mensuelle!G21</f>
        <v>0</v>
      </c>
      <c r="I21" s="93">
        <f t="shared" si="3"/>
        <v>37247.647203544184</v>
      </c>
      <c r="J21" s="93">
        <f t="shared" si="4"/>
        <v>3539.0086393053029</v>
      </c>
      <c r="K21" s="146">
        <f>epargne_mensuelle!H21</f>
        <v>0</v>
      </c>
      <c r="L21" s="93">
        <f t="shared" si="5"/>
        <v>31697.577760901069</v>
      </c>
      <c r="M21" s="93">
        <f t="shared" si="6"/>
        <v>1226.5975503866746</v>
      </c>
      <c r="N21" s="146">
        <f>epargne_mensuelle!I21</f>
        <v>0</v>
      </c>
      <c r="O21" s="93">
        <f t="shared" si="7"/>
        <v>27775.008952279652</v>
      </c>
      <c r="P21" s="93">
        <f t="shared" si="8"/>
        <v>439.14425540382058</v>
      </c>
      <c r="Q21" s="137">
        <f>epargne_mensuelle!J21</f>
        <v>0</v>
      </c>
      <c r="R21" s="93">
        <f t="shared" si="9"/>
        <v>42987.348387676029</v>
      </c>
      <c r="S21" s="93">
        <f t="shared" si="10"/>
        <v>3572.2309008089128</v>
      </c>
      <c r="T21" s="137">
        <f>epargne_mensuelle!K21</f>
        <v>0</v>
      </c>
      <c r="U21" s="93">
        <f t="shared" si="11"/>
        <v>55818.298592739593</v>
      </c>
      <c r="V21" s="93">
        <f t="shared" si="12"/>
        <v>0</v>
      </c>
      <c r="W21" s="137">
        <f>epargne_mensuelle!L21</f>
        <v>0</v>
      </c>
      <c r="X21" s="93">
        <f t="shared" si="13"/>
        <v>55818.298592739593</v>
      </c>
      <c r="Y21" s="93">
        <f t="shared" si="14"/>
        <v>0</v>
      </c>
      <c r="Z21" s="137">
        <f>epargne_mensuelle!M21</f>
        <v>0</v>
      </c>
      <c r="AA21" s="93">
        <f t="shared" si="15"/>
        <v>55818.298592739593</v>
      </c>
      <c r="AB21" s="93">
        <f t="shared" si="16"/>
        <v>0</v>
      </c>
      <c r="AC21" s="137">
        <f>epargne_mensuelle!N21</f>
        <v>0</v>
      </c>
      <c r="AD21" s="93">
        <f t="shared" si="17"/>
        <v>55818.298592739593</v>
      </c>
      <c r="AE21" s="93">
        <f t="shared" si="18"/>
        <v>0</v>
      </c>
      <c r="AF21" s="137">
        <f>epargne_mensuelle!O21</f>
        <v>0</v>
      </c>
      <c r="AG21" s="93">
        <f t="shared" si="19"/>
        <v>55818.298592739593</v>
      </c>
      <c r="AH21" s="93">
        <f t="shared" si="20"/>
        <v>0</v>
      </c>
      <c r="AI21" s="137">
        <f>epargne_mensuelle!P21</f>
        <v>0</v>
      </c>
      <c r="AJ21" s="93">
        <f t="shared" si="21"/>
        <v>55818.298592739593</v>
      </c>
      <c r="AK21" s="93">
        <f t="shared" si="22"/>
        <v>0</v>
      </c>
      <c r="AL21" s="137">
        <f>epargne_mensuelle!Q21</f>
        <v>0</v>
      </c>
      <c r="AM21" s="93">
        <f t="shared" si="23"/>
        <v>55818.298592739593</v>
      </c>
      <c r="AN21" s="93">
        <f t="shared" si="24"/>
        <v>0</v>
      </c>
      <c r="AO21" s="137">
        <f>epargne_mensuelle!R21</f>
        <v>0</v>
      </c>
      <c r="AP21" s="93">
        <f t="shared" si="25"/>
        <v>55818.298592739593</v>
      </c>
      <c r="AQ21" s="93">
        <f t="shared" si="26"/>
        <v>0</v>
      </c>
      <c r="AR21" s="137">
        <f>epargne_mensuelle!S21</f>
        <v>0</v>
      </c>
      <c r="AS21" s="93">
        <f t="shared" si="27"/>
        <v>55818.298592739593</v>
      </c>
      <c r="AT21" s="93">
        <f t="shared" si="28"/>
        <v>0</v>
      </c>
      <c r="AU21" s="137">
        <f>epargne_mensuelle!T21</f>
        <v>0</v>
      </c>
      <c r="AV21" s="93">
        <f t="shared" si="29"/>
        <v>55818.298592739593</v>
      </c>
      <c r="AW21" s="93">
        <f t="shared" si="30"/>
        <v>0</v>
      </c>
      <c r="AX21" s="137">
        <f>epargne_mensuelle!U21</f>
        <v>0</v>
      </c>
      <c r="AY21" s="93">
        <f t="shared" si="31"/>
        <v>55818.298592739593</v>
      </c>
      <c r="AZ21" s="93">
        <f t="shared" si="32"/>
        <v>0</v>
      </c>
      <c r="BA21" s="137">
        <f>epargne_mensuelle!V21</f>
        <v>0</v>
      </c>
      <c r="BB21" s="93">
        <f t="shared" si="33"/>
        <v>55818.298592739593</v>
      </c>
      <c r="BC21" s="93">
        <f t="shared" si="34"/>
        <v>0</v>
      </c>
      <c r="BD21" s="137">
        <f>epargne_mensuelle!W21</f>
        <v>0</v>
      </c>
      <c r="BE21" s="93">
        <f t="shared" si="35"/>
        <v>55818.298592739593</v>
      </c>
      <c r="BF21" s="93">
        <f t="shared" si="36"/>
        <v>0</v>
      </c>
      <c r="BG21" s="137">
        <f>epargne_mensuelle!X21</f>
        <v>0</v>
      </c>
      <c r="BH21" s="93">
        <f t="shared" si="37"/>
        <v>55818.298592739593</v>
      </c>
      <c r="BI21" s="93">
        <f t="shared" si="38"/>
        <v>0</v>
      </c>
      <c r="BJ21" s="137">
        <f>epargne_mensuelle!Y21</f>
        <v>0</v>
      </c>
      <c r="BK21" s="93">
        <f t="shared" si="39"/>
        <v>55818.298592739593</v>
      </c>
      <c r="BL21" s="93">
        <f t="shared" si="40"/>
        <v>0</v>
      </c>
      <c r="BM21" s="137">
        <f>epargne_mensuelle!Z21</f>
        <v>0</v>
      </c>
      <c r="BN21" s="93">
        <f t="shared" si="41"/>
        <v>55818.298592739593</v>
      </c>
      <c r="BO21" s="93">
        <f t="shared" si="42"/>
        <v>0</v>
      </c>
      <c r="BP21" s="137">
        <f>epargne_mensuelle!AA21</f>
        <v>0</v>
      </c>
      <c r="BQ21" s="93">
        <f t="shared" si="43"/>
        <v>55818.298592739593</v>
      </c>
      <c r="BR21" s="93">
        <f t="shared" si="44"/>
        <v>0</v>
      </c>
      <c r="BS21" s="137">
        <f>epargne_mensuelle!AB21</f>
        <v>0</v>
      </c>
      <c r="BT21" s="93">
        <f t="shared" si="45"/>
        <v>55818.298592739593</v>
      </c>
      <c r="BU21" s="93">
        <f t="shared" si="46"/>
        <v>0</v>
      </c>
      <c r="BV21" s="94">
        <f>cumul_epargne!C21</f>
        <v>218369.91325211144</v>
      </c>
      <c r="BW21" s="95">
        <f t="shared" si="50"/>
        <v>36378.970583258451</v>
      </c>
      <c r="BX21" s="134">
        <f t="shared" si="53"/>
        <v>254748.8838353699</v>
      </c>
      <c r="BY21" s="135"/>
      <c r="BZ21" s="135">
        <f t="shared" si="51"/>
        <v>254748.8838353699</v>
      </c>
      <c r="CA21" s="96">
        <f t="shared" si="52"/>
        <v>0.16659332799779231</v>
      </c>
      <c r="CB21" s="113">
        <f t="shared" si="47"/>
        <v>5.6153148800826072E-3</v>
      </c>
      <c r="CC21" s="119">
        <f t="shared" si="48"/>
        <v>24307.591786539957</v>
      </c>
      <c r="CD21" s="8" t="str">
        <f t="shared" si="49"/>
        <v>ACTIONNIRE20</v>
      </c>
    </row>
    <row r="22" spans="1:82" ht="18.5" thickBot="1" x14ac:dyDescent="0.45">
      <c r="A22" s="81">
        <f>epargne_mensuelle!A22</f>
        <v>21</v>
      </c>
      <c r="B22" s="81" t="str">
        <f>epargne_mensuelle!B22</f>
        <v>ACTIONNIRE21</v>
      </c>
      <c r="C22" s="146">
        <f>SUM(epargne_mensuelle!C22:E22)</f>
        <v>304027.6920330862</v>
      </c>
      <c r="D22" s="93">
        <f t="shared" si="0"/>
        <v>38429.145106937489</v>
      </c>
      <c r="E22" s="146">
        <f>epargne_mensuelle!F22</f>
        <v>0</v>
      </c>
      <c r="F22" s="93">
        <f t="shared" si="1"/>
        <v>45516.42673422907</v>
      </c>
      <c r="G22" s="93">
        <f t="shared" si="2"/>
        <v>0</v>
      </c>
      <c r="H22" s="146">
        <f>epargne_mensuelle!G22</f>
        <v>0</v>
      </c>
      <c r="I22" s="93">
        <f t="shared" si="3"/>
        <v>51858.408717148159</v>
      </c>
      <c r="J22" s="93">
        <f t="shared" si="4"/>
        <v>4927.2201131981774</v>
      </c>
      <c r="K22" s="146">
        <f>epargne_mensuelle!H22</f>
        <v>0</v>
      </c>
      <c r="L22" s="93">
        <f t="shared" si="5"/>
        <v>44131.269121126767</v>
      </c>
      <c r="M22" s="93">
        <f t="shared" si="6"/>
        <v>1707.7426864522154</v>
      </c>
      <c r="N22" s="146">
        <f>epargne_mensuelle!I22</f>
        <v>0</v>
      </c>
      <c r="O22" s="93">
        <f t="shared" si="7"/>
        <v>38670.033532553243</v>
      </c>
      <c r="P22" s="93">
        <f t="shared" si="8"/>
        <v>611.40297420858542</v>
      </c>
      <c r="Q22" s="137">
        <f>epargne_mensuelle!J22</f>
        <v>0</v>
      </c>
      <c r="R22" s="93">
        <f t="shared" si="9"/>
        <v>59849.564998629612</v>
      </c>
      <c r="S22" s="93">
        <f t="shared" si="10"/>
        <v>4973.4741384832469</v>
      </c>
      <c r="T22" s="137">
        <f>epargne_mensuelle!K22</f>
        <v>0</v>
      </c>
      <c r="U22" s="93">
        <f t="shared" si="11"/>
        <v>77713.583531865937</v>
      </c>
      <c r="V22" s="93">
        <f t="shared" si="12"/>
        <v>0</v>
      </c>
      <c r="W22" s="137">
        <f>epargne_mensuelle!L22</f>
        <v>0</v>
      </c>
      <c r="X22" s="93">
        <f t="shared" si="13"/>
        <v>77713.583531865937</v>
      </c>
      <c r="Y22" s="93">
        <f t="shared" si="14"/>
        <v>0</v>
      </c>
      <c r="Z22" s="137">
        <f>epargne_mensuelle!M22</f>
        <v>0</v>
      </c>
      <c r="AA22" s="93">
        <f t="shared" si="15"/>
        <v>77713.583531865937</v>
      </c>
      <c r="AB22" s="93">
        <f t="shared" si="16"/>
        <v>0</v>
      </c>
      <c r="AC22" s="137">
        <f>epargne_mensuelle!N22</f>
        <v>0</v>
      </c>
      <c r="AD22" s="93">
        <f t="shared" si="17"/>
        <v>77713.583531865937</v>
      </c>
      <c r="AE22" s="93">
        <f t="shared" si="18"/>
        <v>0</v>
      </c>
      <c r="AF22" s="137">
        <f>epargne_mensuelle!O22</f>
        <v>0</v>
      </c>
      <c r="AG22" s="93">
        <f t="shared" si="19"/>
        <v>77713.583531865937</v>
      </c>
      <c r="AH22" s="93">
        <f t="shared" si="20"/>
        <v>0</v>
      </c>
      <c r="AI22" s="137">
        <f>epargne_mensuelle!P22</f>
        <v>0</v>
      </c>
      <c r="AJ22" s="93">
        <f t="shared" si="21"/>
        <v>77713.583531865937</v>
      </c>
      <c r="AK22" s="93">
        <f t="shared" si="22"/>
        <v>0</v>
      </c>
      <c r="AL22" s="137">
        <f>epargne_mensuelle!Q22</f>
        <v>0</v>
      </c>
      <c r="AM22" s="93">
        <f t="shared" si="23"/>
        <v>77713.583531865937</v>
      </c>
      <c r="AN22" s="93">
        <f t="shared" si="24"/>
        <v>0</v>
      </c>
      <c r="AO22" s="137">
        <f>epargne_mensuelle!R22</f>
        <v>0</v>
      </c>
      <c r="AP22" s="93">
        <f t="shared" si="25"/>
        <v>77713.583531865937</v>
      </c>
      <c r="AQ22" s="93">
        <f t="shared" si="26"/>
        <v>0</v>
      </c>
      <c r="AR22" s="137">
        <f>epargne_mensuelle!S22</f>
        <v>0</v>
      </c>
      <c r="AS22" s="93">
        <f t="shared" si="27"/>
        <v>77713.583531865937</v>
      </c>
      <c r="AT22" s="93">
        <f t="shared" si="28"/>
        <v>0</v>
      </c>
      <c r="AU22" s="137">
        <f>epargne_mensuelle!T22</f>
        <v>0</v>
      </c>
      <c r="AV22" s="93">
        <f t="shared" si="29"/>
        <v>77713.583531865937</v>
      </c>
      <c r="AW22" s="93">
        <f t="shared" si="30"/>
        <v>0</v>
      </c>
      <c r="AX22" s="137">
        <f>epargne_mensuelle!U22</f>
        <v>0</v>
      </c>
      <c r="AY22" s="93">
        <f t="shared" si="31"/>
        <v>77713.583531865937</v>
      </c>
      <c r="AZ22" s="93">
        <f t="shared" si="32"/>
        <v>0</v>
      </c>
      <c r="BA22" s="137">
        <f>epargne_mensuelle!V22</f>
        <v>0</v>
      </c>
      <c r="BB22" s="93">
        <f t="shared" si="33"/>
        <v>77713.583531865937</v>
      </c>
      <c r="BC22" s="93">
        <f t="shared" si="34"/>
        <v>0</v>
      </c>
      <c r="BD22" s="137">
        <f>epargne_mensuelle!W22</f>
        <v>0</v>
      </c>
      <c r="BE22" s="93">
        <f t="shared" si="35"/>
        <v>77713.583531865937</v>
      </c>
      <c r="BF22" s="93">
        <f t="shared" si="36"/>
        <v>0</v>
      </c>
      <c r="BG22" s="137">
        <f>epargne_mensuelle!X22</f>
        <v>0</v>
      </c>
      <c r="BH22" s="93">
        <f t="shared" si="37"/>
        <v>77713.583531865937</v>
      </c>
      <c r="BI22" s="93">
        <f t="shared" si="38"/>
        <v>0</v>
      </c>
      <c r="BJ22" s="137">
        <f>epargne_mensuelle!Y22</f>
        <v>0</v>
      </c>
      <c r="BK22" s="93">
        <f t="shared" si="39"/>
        <v>77713.583531865937</v>
      </c>
      <c r="BL22" s="93">
        <f t="shared" si="40"/>
        <v>0</v>
      </c>
      <c r="BM22" s="137">
        <f>epargne_mensuelle!Z22</f>
        <v>0</v>
      </c>
      <c r="BN22" s="93">
        <f t="shared" si="41"/>
        <v>77713.583531865937</v>
      </c>
      <c r="BO22" s="93">
        <f t="shared" si="42"/>
        <v>0</v>
      </c>
      <c r="BP22" s="137">
        <f>epargne_mensuelle!AA22</f>
        <v>0</v>
      </c>
      <c r="BQ22" s="93">
        <f t="shared" si="43"/>
        <v>77713.583531865937</v>
      </c>
      <c r="BR22" s="93">
        <f t="shared" si="44"/>
        <v>0</v>
      </c>
      <c r="BS22" s="137">
        <f>epargne_mensuelle!AB22</f>
        <v>0</v>
      </c>
      <c r="BT22" s="93">
        <f t="shared" si="45"/>
        <v>77713.583531865937</v>
      </c>
      <c r="BU22" s="93">
        <f t="shared" si="46"/>
        <v>0</v>
      </c>
      <c r="BV22" s="94">
        <f>cumul_epargne!C22</f>
        <v>304027.6920330862</v>
      </c>
      <c r="BW22" s="95">
        <f t="shared" si="50"/>
        <v>50648.985019279709</v>
      </c>
      <c r="BX22" s="134">
        <f t="shared" si="53"/>
        <v>354676.67705236591</v>
      </c>
      <c r="BY22" s="135"/>
      <c r="BZ22" s="135">
        <f t="shared" si="51"/>
        <v>354676.67705236591</v>
      </c>
      <c r="CA22" s="96">
        <f t="shared" si="52"/>
        <v>0.16659332799779228</v>
      </c>
      <c r="CB22" s="113">
        <f t="shared" si="47"/>
        <v>7.8179782077376168E-3</v>
      </c>
      <c r="CC22" s="119">
        <f t="shared" si="48"/>
        <v>33842.487363229688</v>
      </c>
      <c r="CD22" s="8" t="str">
        <f t="shared" si="49"/>
        <v>ACTIONNIRE21</v>
      </c>
    </row>
    <row r="23" spans="1:82" ht="18.5" thickBot="1" x14ac:dyDescent="0.45">
      <c r="A23" s="81">
        <f>epargne_mensuelle!A23</f>
        <v>22</v>
      </c>
      <c r="B23" s="81" t="str">
        <f>epargne_mensuelle!B23</f>
        <v>ACTIONNIRE22</v>
      </c>
      <c r="C23" s="146">
        <f>SUM(epargne_mensuelle!C23:E23)</f>
        <v>907686.42638101254</v>
      </c>
      <c r="D23" s="93">
        <f t="shared" si="0"/>
        <v>114731.69814806682</v>
      </c>
      <c r="E23" s="146">
        <f>epargne_mensuelle!F23</f>
        <v>0</v>
      </c>
      <c r="F23" s="93">
        <f t="shared" si="1"/>
        <v>135891.05139649397</v>
      </c>
      <c r="G23" s="93">
        <f t="shared" si="2"/>
        <v>0</v>
      </c>
      <c r="H23" s="146">
        <f>epargne_mensuelle!G23</f>
        <v>0</v>
      </c>
      <c r="I23" s="93">
        <f t="shared" si="3"/>
        <v>154825.28374800665</v>
      </c>
      <c r="J23" s="93">
        <f t="shared" si="4"/>
        <v>14710.406103582134</v>
      </c>
      <c r="K23" s="146">
        <f>epargne_mensuelle!H23</f>
        <v>0</v>
      </c>
      <c r="L23" s="93">
        <f t="shared" si="5"/>
        <v>131755.60980101442</v>
      </c>
      <c r="M23" s="93">
        <f t="shared" si="6"/>
        <v>5098.5318010947185</v>
      </c>
      <c r="N23" s="146">
        <f>epargne_mensuelle!I23</f>
        <v>0</v>
      </c>
      <c r="O23" s="93">
        <f t="shared" si="7"/>
        <v>115450.87985398826</v>
      </c>
      <c r="P23" s="93">
        <f t="shared" si="8"/>
        <v>1825.3672125291762</v>
      </c>
      <c r="Q23" s="137">
        <f>epargne_mensuelle!J23</f>
        <v>0</v>
      </c>
      <c r="R23" s="93">
        <f t="shared" si="9"/>
        <v>178683.18971467999</v>
      </c>
      <c r="S23" s="93">
        <f t="shared" si="10"/>
        <v>14848.49928396313</v>
      </c>
      <c r="T23" s="137">
        <f>epargne_mensuelle!K23</f>
        <v>0</v>
      </c>
      <c r="U23" s="93">
        <f t="shared" si="11"/>
        <v>232016.90755730611</v>
      </c>
      <c r="V23" s="93">
        <f t="shared" si="12"/>
        <v>0</v>
      </c>
      <c r="W23" s="137">
        <f>epargne_mensuelle!L23</f>
        <v>0</v>
      </c>
      <c r="X23" s="93">
        <f t="shared" si="13"/>
        <v>232016.90755730611</v>
      </c>
      <c r="Y23" s="93">
        <f t="shared" si="14"/>
        <v>0</v>
      </c>
      <c r="Z23" s="137">
        <f>epargne_mensuelle!M23</f>
        <v>0</v>
      </c>
      <c r="AA23" s="93">
        <f t="shared" si="15"/>
        <v>232016.90755730611</v>
      </c>
      <c r="AB23" s="93">
        <f t="shared" si="16"/>
        <v>0</v>
      </c>
      <c r="AC23" s="137">
        <f>epargne_mensuelle!N23</f>
        <v>0</v>
      </c>
      <c r="AD23" s="93">
        <f t="shared" si="17"/>
        <v>232016.90755730611</v>
      </c>
      <c r="AE23" s="93">
        <f t="shared" si="18"/>
        <v>0</v>
      </c>
      <c r="AF23" s="137">
        <f>epargne_mensuelle!O23</f>
        <v>0</v>
      </c>
      <c r="AG23" s="93">
        <f t="shared" si="19"/>
        <v>232016.90755730611</v>
      </c>
      <c r="AH23" s="93">
        <f t="shared" si="20"/>
        <v>0</v>
      </c>
      <c r="AI23" s="137">
        <f>epargne_mensuelle!P23</f>
        <v>0</v>
      </c>
      <c r="AJ23" s="93">
        <f t="shared" si="21"/>
        <v>232016.90755730611</v>
      </c>
      <c r="AK23" s="93">
        <f t="shared" si="22"/>
        <v>0</v>
      </c>
      <c r="AL23" s="137">
        <f>epargne_mensuelle!Q23</f>
        <v>0</v>
      </c>
      <c r="AM23" s="93">
        <f t="shared" si="23"/>
        <v>232016.90755730611</v>
      </c>
      <c r="AN23" s="93">
        <f t="shared" si="24"/>
        <v>0</v>
      </c>
      <c r="AO23" s="137">
        <f>epargne_mensuelle!R23</f>
        <v>0</v>
      </c>
      <c r="AP23" s="93">
        <f t="shared" si="25"/>
        <v>232016.90755730611</v>
      </c>
      <c r="AQ23" s="93">
        <f t="shared" si="26"/>
        <v>0</v>
      </c>
      <c r="AR23" s="137">
        <f>epargne_mensuelle!S23</f>
        <v>0</v>
      </c>
      <c r="AS23" s="93">
        <f t="shared" si="27"/>
        <v>232016.90755730611</v>
      </c>
      <c r="AT23" s="93">
        <f t="shared" si="28"/>
        <v>0</v>
      </c>
      <c r="AU23" s="137">
        <f>epargne_mensuelle!T23</f>
        <v>0</v>
      </c>
      <c r="AV23" s="93">
        <f t="shared" si="29"/>
        <v>232016.90755730611</v>
      </c>
      <c r="AW23" s="93">
        <f t="shared" si="30"/>
        <v>0</v>
      </c>
      <c r="AX23" s="137">
        <f>epargne_mensuelle!U23</f>
        <v>0</v>
      </c>
      <c r="AY23" s="93">
        <f t="shared" si="31"/>
        <v>232016.90755730611</v>
      </c>
      <c r="AZ23" s="93">
        <f t="shared" si="32"/>
        <v>0</v>
      </c>
      <c r="BA23" s="137">
        <f>epargne_mensuelle!V23</f>
        <v>0</v>
      </c>
      <c r="BB23" s="93">
        <f t="shared" si="33"/>
        <v>232016.90755730611</v>
      </c>
      <c r="BC23" s="93">
        <f t="shared" si="34"/>
        <v>0</v>
      </c>
      <c r="BD23" s="137">
        <f>epargne_mensuelle!W23</f>
        <v>0</v>
      </c>
      <c r="BE23" s="93">
        <f t="shared" si="35"/>
        <v>232016.90755730611</v>
      </c>
      <c r="BF23" s="93">
        <f t="shared" si="36"/>
        <v>0</v>
      </c>
      <c r="BG23" s="137">
        <f>epargne_mensuelle!X23</f>
        <v>0</v>
      </c>
      <c r="BH23" s="93">
        <f t="shared" si="37"/>
        <v>232016.90755730611</v>
      </c>
      <c r="BI23" s="93">
        <f t="shared" si="38"/>
        <v>0</v>
      </c>
      <c r="BJ23" s="137">
        <f>epargne_mensuelle!Y23</f>
        <v>0</v>
      </c>
      <c r="BK23" s="93">
        <f t="shared" si="39"/>
        <v>232016.90755730611</v>
      </c>
      <c r="BL23" s="93">
        <f t="shared" si="40"/>
        <v>0</v>
      </c>
      <c r="BM23" s="137">
        <f>epargne_mensuelle!Z23</f>
        <v>0</v>
      </c>
      <c r="BN23" s="93">
        <f t="shared" si="41"/>
        <v>232016.90755730611</v>
      </c>
      <c r="BO23" s="93">
        <f t="shared" si="42"/>
        <v>0</v>
      </c>
      <c r="BP23" s="137">
        <f>epargne_mensuelle!AA23</f>
        <v>0</v>
      </c>
      <c r="BQ23" s="93">
        <f t="shared" si="43"/>
        <v>232016.90755730611</v>
      </c>
      <c r="BR23" s="93">
        <f t="shared" si="44"/>
        <v>0</v>
      </c>
      <c r="BS23" s="137">
        <f>epargne_mensuelle!AB23</f>
        <v>0</v>
      </c>
      <c r="BT23" s="93">
        <f t="shared" si="45"/>
        <v>232016.90755730611</v>
      </c>
      <c r="BU23" s="93">
        <f t="shared" si="46"/>
        <v>0</v>
      </c>
      <c r="BV23" s="94">
        <f>cumul_epargne!C23</f>
        <v>907686.42638101254</v>
      </c>
      <c r="BW23" s="95">
        <f t="shared" si="50"/>
        <v>151214.502549236</v>
      </c>
      <c r="BX23" s="134">
        <f t="shared" si="53"/>
        <v>1058900.9289302486</v>
      </c>
      <c r="BY23" s="135"/>
      <c r="BZ23" s="135">
        <f t="shared" si="51"/>
        <v>1058900.9289302486</v>
      </c>
      <c r="CA23" s="96">
        <f t="shared" si="52"/>
        <v>0.16659332799779233</v>
      </c>
      <c r="CB23" s="113">
        <f t="shared" si="47"/>
        <v>2.3340876133525795E-2</v>
      </c>
      <c r="CC23" s="119">
        <f t="shared" si="48"/>
        <v>101038.05416261744</v>
      </c>
      <c r="CD23" s="8" t="str">
        <f t="shared" si="49"/>
        <v>ACTIONNIRE22</v>
      </c>
    </row>
    <row r="24" spans="1:82" ht="18.5" thickBot="1" x14ac:dyDescent="0.45">
      <c r="A24" s="81">
        <f>epargne_mensuelle!A24</f>
        <v>23</v>
      </c>
      <c r="B24" s="81" t="str">
        <f>epargne_mensuelle!B24</f>
        <v>ACTIONNIRE23</v>
      </c>
      <c r="C24" s="146">
        <f>SUM(epargne_mensuelle!C24:E24)</f>
        <v>54646.514162173895</v>
      </c>
      <c r="D24" s="93">
        <f t="shared" si="0"/>
        <v>6907.327448638981</v>
      </c>
      <c r="E24" s="146">
        <f>epargne_mensuelle!F24</f>
        <v>0</v>
      </c>
      <c r="F24" s="93">
        <f t="shared" si="1"/>
        <v>8181.2088941980746</v>
      </c>
      <c r="G24" s="93">
        <f t="shared" si="2"/>
        <v>0</v>
      </c>
      <c r="H24" s="146">
        <f>epargne_mensuelle!G24</f>
        <v>0</v>
      </c>
      <c r="I24" s="93">
        <f t="shared" si="3"/>
        <v>9321.1287677078999</v>
      </c>
      <c r="J24" s="93">
        <f t="shared" si="4"/>
        <v>885.62789098412156</v>
      </c>
      <c r="K24" s="146">
        <f>epargne_mensuelle!H24</f>
        <v>0</v>
      </c>
      <c r="L24" s="93">
        <f t="shared" si="5"/>
        <v>7932.2380369216917</v>
      </c>
      <c r="M24" s="93">
        <f t="shared" si="6"/>
        <v>306.95291036319134</v>
      </c>
      <c r="N24" s="146">
        <f>epargne_mensuelle!I24</f>
        <v>0</v>
      </c>
      <c r="O24" s="93">
        <f t="shared" si="7"/>
        <v>6950.625191268563</v>
      </c>
      <c r="P24" s="93">
        <f t="shared" si="8"/>
        <v>109.89473052753596</v>
      </c>
      <c r="Q24" s="137">
        <f>epargne_mensuelle!J24</f>
        <v>0</v>
      </c>
      <c r="R24" s="93">
        <f t="shared" si="9"/>
        <v>10757.474358426651</v>
      </c>
      <c r="S24" s="93">
        <f t="shared" si="10"/>
        <v>893.94167724120723</v>
      </c>
      <c r="T24" s="137">
        <f>epargne_mensuelle!K24</f>
        <v>0</v>
      </c>
      <c r="U24" s="93">
        <f t="shared" si="11"/>
        <v>13968.386940901535</v>
      </c>
      <c r="V24" s="93">
        <f t="shared" si="12"/>
        <v>0</v>
      </c>
      <c r="W24" s="137">
        <f>epargne_mensuelle!L24</f>
        <v>0</v>
      </c>
      <c r="X24" s="93">
        <f t="shared" si="13"/>
        <v>13968.386940901535</v>
      </c>
      <c r="Y24" s="93">
        <f t="shared" si="14"/>
        <v>0</v>
      </c>
      <c r="Z24" s="137">
        <f>epargne_mensuelle!M24</f>
        <v>0</v>
      </c>
      <c r="AA24" s="93">
        <f t="shared" si="15"/>
        <v>13968.386940901535</v>
      </c>
      <c r="AB24" s="93">
        <f t="shared" si="16"/>
        <v>0</v>
      </c>
      <c r="AC24" s="137">
        <f>epargne_mensuelle!N24</f>
        <v>0</v>
      </c>
      <c r="AD24" s="93">
        <f t="shared" si="17"/>
        <v>13968.386940901535</v>
      </c>
      <c r="AE24" s="93">
        <f t="shared" si="18"/>
        <v>0</v>
      </c>
      <c r="AF24" s="137">
        <f>epargne_mensuelle!O24</f>
        <v>0</v>
      </c>
      <c r="AG24" s="93">
        <f t="shared" si="19"/>
        <v>13968.386940901535</v>
      </c>
      <c r="AH24" s="93">
        <f t="shared" si="20"/>
        <v>0</v>
      </c>
      <c r="AI24" s="137">
        <f>epargne_mensuelle!P24</f>
        <v>0</v>
      </c>
      <c r="AJ24" s="93">
        <f t="shared" si="21"/>
        <v>13968.386940901535</v>
      </c>
      <c r="AK24" s="93">
        <f t="shared" si="22"/>
        <v>0</v>
      </c>
      <c r="AL24" s="137">
        <f>epargne_mensuelle!Q24</f>
        <v>0</v>
      </c>
      <c r="AM24" s="93">
        <f t="shared" si="23"/>
        <v>13968.386940901535</v>
      </c>
      <c r="AN24" s="93">
        <f t="shared" si="24"/>
        <v>0</v>
      </c>
      <c r="AO24" s="137">
        <f>epargne_mensuelle!R24</f>
        <v>0</v>
      </c>
      <c r="AP24" s="93">
        <f t="shared" si="25"/>
        <v>13968.386940901535</v>
      </c>
      <c r="AQ24" s="93">
        <f t="shared" si="26"/>
        <v>0</v>
      </c>
      <c r="AR24" s="137">
        <f>epargne_mensuelle!S24</f>
        <v>0</v>
      </c>
      <c r="AS24" s="93">
        <f t="shared" si="27"/>
        <v>13968.386940901535</v>
      </c>
      <c r="AT24" s="93">
        <f t="shared" si="28"/>
        <v>0</v>
      </c>
      <c r="AU24" s="137">
        <f>epargne_mensuelle!T24</f>
        <v>0</v>
      </c>
      <c r="AV24" s="93">
        <f t="shared" si="29"/>
        <v>13968.386940901535</v>
      </c>
      <c r="AW24" s="93">
        <f t="shared" si="30"/>
        <v>0</v>
      </c>
      <c r="AX24" s="137">
        <f>epargne_mensuelle!U24</f>
        <v>0</v>
      </c>
      <c r="AY24" s="93">
        <f t="shared" si="31"/>
        <v>13968.386940901535</v>
      </c>
      <c r="AZ24" s="93">
        <f t="shared" si="32"/>
        <v>0</v>
      </c>
      <c r="BA24" s="137">
        <f>epargne_mensuelle!V24</f>
        <v>0</v>
      </c>
      <c r="BB24" s="93">
        <f t="shared" si="33"/>
        <v>13968.386940901535</v>
      </c>
      <c r="BC24" s="93">
        <f t="shared" si="34"/>
        <v>0</v>
      </c>
      <c r="BD24" s="137">
        <f>epargne_mensuelle!W24</f>
        <v>0</v>
      </c>
      <c r="BE24" s="93">
        <f t="shared" si="35"/>
        <v>13968.386940901535</v>
      </c>
      <c r="BF24" s="93">
        <f t="shared" si="36"/>
        <v>0</v>
      </c>
      <c r="BG24" s="137">
        <f>epargne_mensuelle!X24</f>
        <v>0</v>
      </c>
      <c r="BH24" s="93">
        <f t="shared" si="37"/>
        <v>13968.386940901535</v>
      </c>
      <c r="BI24" s="93">
        <f t="shared" si="38"/>
        <v>0</v>
      </c>
      <c r="BJ24" s="137">
        <f>epargne_mensuelle!Y24</f>
        <v>0</v>
      </c>
      <c r="BK24" s="93">
        <f t="shared" si="39"/>
        <v>13968.386940901535</v>
      </c>
      <c r="BL24" s="93">
        <f t="shared" si="40"/>
        <v>0</v>
      </c>
      <c r="BM24" s="137">
        <f>epargne_mensuelle!Z24</f>
        <v>0</v>
      </c>
      <c r="BN24" s="93">
        <f t="shared" si="41"/>
        <v>13968.386940901535</v>
      </c>
      <c r="BO24" s="93">
        <f t="shared" si="42"/>
        <v>0</v>
      </c>
      <c r="BP24" s="137">
        <f>epargne_mensuelle!AA24</f>
        <v>0</v>
      </c>
      <c r="BQ24" s="93">
        <f t="shared" si="43"/>
        <v>13968.386940901535</v>
      </c>
      <c r="BR24" s="93">
        <f t="shared" si="44"/>
        <v>0</v>
      </c>
      <c r="BS24" s="137">
        <f>epargne_mensuelle!AB24</f>
        <v>0</v>
      </c>
      <c r="BT24" s="93">
        <f t="shared" si="45"/>
        <v>13968.386940901535</v>
      </c>
      <c r="BU24" s="93">
        <f t="shared" si="46"/>
        <v>0</v>
      </c>
      <c r="BV24" s="94">
        <f>cumul_epargne!C24</f>
        <v>54646.514162173895</v>
      </c>
      <c r="BW24" s="95">
        <f t="shared" si="50"/>
        <v>9103.7446577550363</v>
      </c>
      <c r="BX24" s="134">
        <f t="shared" si="53"/>
        <v>63750.258819928931</v>
      </c>
      <c r="BY24" s="135"/>
      <c r="BZ24" s="135">
        <f t="shared" si="51"/>
        <v>63750.258819928931</v>
      </c>
      <c r="CA24" s="96">
        <f t="shared" si="52"/>
        <v>0.16659332799779228</v>
      </c>
      <c r="CB24" s="113">
        <f t="shared" si="47"/>
        <v>1.4052182351935469E-3</v>
      </c>
      <c r="CC24" s="119">
        <f t="shared" si="48"/>
        <v>6082.9128840561725</v>
      </c>
      <c r="CD24" s="8" t="str">
        <f t="shared" si="49"/>
        <v>ACTIONNIRE23</v>
      </c>
    </row>
    <row r="25" spans="1:82" ht="18.5" thickBot="1" x14ac:dyDescent="0.45">
      <c r="A25" s="81">
        <f>epargne_mensuelle!A25</f>
        <v>24</v>
      </c>
      <c r="B25" s="81" t="str">
        <f>epargne_mensuelle!B25</f>
        <v>ACTIONNIRE24</v>
      </c>
      <c r="C25" s="146">
        <f>SUM(epargne_mensuelle!C25:E25)</f>
        <v>162676.96947696092</v>
      </c>
      <c r="D25" s="93">
        <f t="shared" si="0"/>
        <v>20562.392931321006</v>
      </c>
      <c r="E25" s="146">
        <f>epargne_mensuelle!F25</f>
        <v>0</v>
      </c>
      <c r="F25" s="93">
        <f t="shared" si="1"/>
        <v>24354.605046104509</v>
      </c>
      <c r="G25" s="93">
        <f t="shared" si="2"/>
        <v>0</v>
      </c>
      <c r="H25" s="146">
        <f>epargne_mensuelle!G25</f>
        <v>0</v>
      </c>
      <c r="I25" s="93">
        <f t="shared" si="3"/>
        <v>27748.027541797725</v>
      </c>
      <c r="J25" s="93">
        <f t="shared" si="4"/>
        <v>2636.4218028987257</v>
      </c>
      <c r="K25" s="146">
        <f>epargne_mensuelle!H25</f>
        <v>0</v>
      </c>
      <c r="L25" s="93">
        <f t="shared" si="5"/>
        <v>23613.444787837965</v>
      </c>
      <c r="M25" s="93">
        <f t="shared" si="6"/>
        <v>913.76677900859477</v>
      </c>
      <c r="N25" s="146">
        <f>epargne_mensuelle!I25</f>
        <v>0</v>
      </c>
      <c r="O25" s="93">
        <f t="shared" si="7"/>
        <v>20691.285792360068</v>
      </c>
      <c r="P25" s="93">
        <f t="shared" si="8"/>
        <v>327.14514361615846</v>
      </c>
      <c r="Q25" s="137">
        <f>epargne_mensuelle!J25</f>
        <v>0</v>
      </c>
      <c r="R25" s="93">
        <f t="shared" si="9"/>
        <v>32023.878461149878</v>
      </c>
      <c r="S25" s="93">
        <f t="shared" si="10"/>
        <v>2661.1710769177093</v>
      </c>
      <c r="T25" s="137">
        <f>epargne_mensuelle!K25</f>
        <v>0</v>
      </c>
      <c r="U25" s="93">
        <f t="shared" si="11"/>
        <v>41582.430112263595</v>
      </c>
      <c r="V25" s="93">
        <f t="shared" si="12"/>
        <v>0</v>
      </c>
      <c r="W25" s="137">
        <f>epargne_mensuelle!L25</f>
        <v>0</v>
      </c>
      <c r="X25" s="93">
        <f t="shared" si="13"/>
        <v>41582.430112263595</v>
      </c>
      <c r="Y25" s="93">
        <f t="shared" si="14"/>
        <v>0</v>
      </c>
      <c r="Z25" s="137">
        <f>epargne_mensuelle!M25</f>
        <v>0</v>
      </c>
      <c r="AA25" s="93">
        <f t="shared" si="15"/>
        <v>41582.430112263595</v>
      </c>
      <c r="AB25" s="93">
        <f t="shared" si="16"/>
        <v>0</v>
      </c>
      <c r="AC25" s="137">
        <f>epargne_mensuelle!N25</f>
        <v>0</v>
      </c>
      <c r="AD25" s="93">
        <f t="shared" si="17"/>
        <v>41582.430112263595</v>
      </c>
      <c r="AE25" s="93">
        <f t="shared" si="18"/>
        <v>0</v>
      </c>
      <c r="AF25" s="137">
        <f>epargne_mensuelle!O25</f>
        <v>0</v>
      </c>
      <c r="AG25" s="93">
        <f t="shared" si="19"/>
        <v>41582.430112263595</v>
      </c>
      <c r="AH25" s="93">
        <f t="shared" si="20"/>
        <v>0</v>
      </c>
      <c r="AI25" s="137">
        <f>epargne_mensuelle!P25</f>
        <v>0</v>
      </c>
      <c r="AJ25" s="93">
        <f t="shared" si="21"/>
        <v>41582.430112263595</v>
      </c>
      <c r="AK25" s="93">
        <f t="shared" si="22"/>
        <v>0</v>
      </c>
      <c r="AL25" s="137">
        <f>epargne_mensuelle!Q25</f>
        <v>0</v>
      </c>
      <c r="AM25" s="93">
        <f t="shared" si="23"/>
        <v>41582.430112263595</v>
      </c>
      <c r="AN25" s="93">
        <f t="shared" si="24"/>
        <v>0</v>
      </c>
      <c r="AO25" s="137">
        <f>epargne_mensuelle!R25</f>
        <v>0</v>
      </c>
      <c r="AP25" s="93">
        <f t="shared" si="25"/>
        <v>41582.430112263595</v>
      </c>
      <c r="AQ25" s="93">
        <f t="shared" si="26"/>
        <v>0</v>
      </c>
      <c r="AR25" s="137">
        <f>epargne_mensuelle!S25</f>
        <v>0</v>
      </c>
      <c r="AS25" s="93">
        <f t="shared" si="27"/>
        <v>41582.430112263595</v>
      </c>
      <c r="AT25" s="93">
        <f t="shared" si="28"/>
        <v>0</v>
      </c>
      <c r="AU25" s="137">
        <f>epargne_mensuelle!T25</f>
        <v>0</v>
      </c>
      <c r="AV25" s="93">
        <f t="shared" si="29"/>
        <v>41582.430112263595</v>
      </c>
      <c r="AW25" s="93">
        <f t="shared" si="30"/>
        <v>0</v>
      </c>
      <c r="AX25" s="137">
        <f>epargne_mensuelle!U25</f>
        <v>0</v>
      </c>
      <c r="AY25" s="93">
        <f t="shared" si="31"/>
        <v>41582.430112263595</v>
      </c>
      <c r="AZ25" s="93">
        <f t="shared" si="32"/>
        <v>0</v>
      </c>
      <c r="BA25" s="137">
        <f>epargne_mensuelle!V25</f>
        <v>0</v>
      </c>
      <c r="BB25" s="93">
        <f t="shared" si="33"/>
        <v>41582.430112263595</v>
      </c>
      <c r="BC25" s="93">
        <f t="shared" si="34"/>
        <v>0</v>
      </c>
      <c r="BD25" s="137">
        <f>epargne_mensuelle!W25</f>
        <v>0</v>
      </c>
      <c r="BE25" s="93">
        <f t="shared" si="35"/>
        <v>41582.430112263595</v>
      </c>
      <c r="BF25" s="93">
        <f t="shared" si="36"/>
        <v>0</v>
      </c>
      <c r="BG25" s="137">
        <f>epargne_mensuelle!X25</f>
        <v>0</v>
      </c>
      <c r="BH25" s="93">
        <f t="shared" si="37"/>
        <v>41582.430112263595</v>
      </c>
      <c r="BI25" s="93">
        <f t="shared" si="38"/>
        <v>0</v>
      </c>
      <c r="BJ25" s="137">
        <f>epargne_mensuelle!Y25</f>
        <v>0</v>
      </c>
      <c r="BK25" s="93">
        <f t="shared" si="39"/>
        <v>41582.430112263595</v>
      </c>
      <c r="BL25" s="93">
        <f t="shared" si="40"/>
        <v>0</v>
      </c>
      <c r="BM25" s="137">
        <f>epargne_mensuelle!Z25</f>
        <v>0</v>
      </c>
      <c r="BN25" s="93">
        <f t="shared" si="41"/>
        <v>41582.430112263595</v>
      </c>
      <c r="BO25" s="93">
        <f t="shared" si="42"/>
        <v>0</v>
      </c>
      <c r="BP25" s="137">
        <f>epargne_mensuelle!AA25</f>
        <v>0</v>
      </c>
      <c r="BQ25" s="93">
        <f t="shared" si="43"/>
        <v>41582.430112263595</v>
      </c>
      <c r="BR25" s="93">
        <f t="shared" si="44"/>
        <v>0</v>
      </c>
      <c r="BS25" s="137">
        <f>epargne_mensuelle!AB25</f>
        <v>0</v>
      </c>
      <c r="BT25" s="93">
        <f t="shared" si="45"/>
        <v>41582.430112263595</v>
      </c>
      <c r="BU25" s="93">
        <f t="shared" si="46"/>
        <v>0</v>
      </c>
      <c r="BV25" s="94">
        <f>cumul_epargne!C25</f>
        <v>162676.96947696092</v>
      </c>
      <c r="BW25" s="95">
        <f t="shared" si="50"/>
        <v>27100.897733762195</v>
      </c>
      <c r="BX25" s="134">
        <f t="shared" si="53"/>
        <v>189777.86721072311</v>
      </c>
      <c r="BY25" s="147"/>
      <c r="BZ25" s="135">
        <f t="shared" si="51"/>
        <v>189777.86721072311</v>
      </c>
      <c r="CA25" s="96">
        <f t="shared" si="52"/>
        <v>0.16659332799779228</v>
      </c>
      <c r="CB25" s="113">
        <f t="shared" si="47"/>
        <v>4.1831880305602956E-3</v>
      </c>
      <c r="CC25" s="119">
        <f t="shared" si="48"/>
        <v>18108.196812589755</v>
      </c>
      <c r="CD25" s="8" t="str">
        <f t="shared" ref="CD25:CD48" si="54">B25</f>
        <v>ACTIONNIRE24</v>
      </c>
    </row>
    <row r="26" spans="1:82" ht="18.5" thickBot="1" x14ac:dyDescent="0.45">
      <c r="A26" s="81">
        <f>epargne_mensuelle!A26</f>
        <v>25</v>
      </c>
      <c r="B26" s="81" t="str">
        <f>epargne_mensuelle!B26</f>
        <v>ACTIONNIRE25</v>
      </c>
      <c r="C26" s="146">
        <f>SUM(epargne_mensuelle!C26:E26)</f>
        <v>696021.67479701887</v>
      </c>
      <c r="D26" s="93">
        <f t="shared" si="0"/>
        <v>87977.242334351118</v>
      </c>
      <c r="E26" s="146">
        <f>epargne_mensuelle!F26</f>
        <v>0</v>
      </c>
      <c r="F26" s="93">
        <f t="shared" si="1"/>
        <v>104202.41443955783</v>
      </c>
      <c r="G26" s="93">
        <f t="shared" si="2"/>
        <v>0</v>
      </c>
      <c r="H26" s="146">
        <f>epargne_mensuelle!G26</f>
        <v>0</v>
      </c>
      <c r="I26" s="93">
        <f t="shared" si="3"/>
        <v>118721.34490857407</v>
      </c>
      <c r="J26" s="93">
        <f t="shared" si="4"/>
        <v>11280.06456368631</v>
      </c>
      <c r="K26" s="146">
        <f>epargne_mensuelle!H26</f>
        <v>0</v>
      </c>
      <c r="L26" s="93">
        <f t="shared" si="5"/>
        <v>101031.32263774797</v>
      </c>
      <c r="M26" s="93">
        <f t="shared" si="6"/>
        <v>3909.5975659265841</v>
      </c>
      <c r="N26" s="146">
        <f>epargne_mensuelle!I26</f>
        <v>0</v>
      </c>
      <c r="O26" s="93">
        <f t="shared" si="7"/>
        <v>88528.716985607709</v>
      </c>
      <c r="P26" s="93">
        <f t="shared" si="8"/>
        <v>1399.7071097004782</v>
      </c>
      <c r="Q26" s="137">
        <f>epargne_mensuelle!J26</f>
        <v>0</v>
      </c>
      <c r="R26" s="93">
        <f t="shared" si="9"/>
        <v>137015.7901987622</v>
      </c>
      <c r="S26" s="93">
        <f t="shared" si="10"/>
        <v>11385.955589367997</v>
      </c>
      <c r="T26" s="137">
        <f>epargne_mensuelle!K26</f>
        <v>0</v>
      </c>
      <c r="U26" s="93">
        <f t="shared" si="11"/>
        <v>177912.53883031453</v>
      </c>
      <c r="V26" s="93">
        <f t="shared" si="12"/>
        <v>0</v>
      </c>
      <c r="W26" s="137">
        <f>epargne_mensuelle!L26</f>
        <v>0</v>
      </c>
      <c r="X26" s="93">
        <f t="shared" si="13"/>
        <v>177912.53883031453</v>
      </c>
      <c r="Y26" s="93">
        <f t="shared" si="14"/>
        <v>0</v>
      </c>
      <c r="Z26" s="137">
        <f>epargne_mensuelle!M26</f>
        <v>0</v>
      </c>
      <c r="AA26" s="93">
        <f t="shared" si="15"/>
        <v>177912.53883031453</v>
      </c>
      <c r="AB26" s="93">
        <f t="shared" si="16"/>
        <v>0</v>
      </c>
      <c r="AC26" s="137">
        <f>epargne_mensuelle!N26</f>
        <v>0</v>
      </c>
      <c r="AD26" s="93">
        <f t="shared" si="17"/>
        <v>177912.53883031453</v>
      </c>
      <c r="AE26" s="93">
        <f t="shared" si="18"/>
        <v>0</v>
      </c>
      <c r="AF26" s="137">
        <f>epargne_mensuelle!O26</f>
        <v>0</v>
      </c>
      <c r="AG26" s="93">
        <f t="shared" si="19"/>
        <v>177912.53883031453</v>
      </c>
      <c r="AH26" s="93">
        <f t="shared" si="20"/>
        <v>0</v>
      </c>
      <c r="AI26" s="137">
        <f>epargne_mensuelle!P26</f>
        <v>0</v>
      </c>
      <c r="AJ26" s="93">
        <f t="shared" si="21"/>
        <v>177912.53883031453</v>
      </c>
      <c r="AK26" s="93">
        <f t="shared" si="22"/>
        <v>0</v>
      </c>
      <c r="AL26" s="137">
        <f>epargne_mensuelle!Q26</f>
        <v>0</v>
      </c>
      <c r="AM26" s="93">
        <f t="shared" si="23"/>
        <v>177912.53883031453</v>
      </c>
      <c r="AN26" s="93">
        <f t="shared" si="24"/>
        <v>0</v>
      </c>
      <c r="AO26" s="137">
        <f>epargne_mensuelle!R26</f>
        <v>0</v>
      </c>
      <c r="AP26" s="93">
        <f t="shared" si="25"/>
        <v>177912.53883031453</v>
      </c>
      <c r="AQ26" s="93">
        <f t="shared" si="26"/>
        <v>0</v>
      </c>
      <c r="AR26" s="137">
        <f>epargne_mensuelle!S26</f>
        <v>0</v>
      </c>
      <c r="AS26" s="93">
        <f t="shared" si="27"/>
        <v>177912.53883031453</v>
      </c>
      <c r="AT26" s="93">
        <f t="shared" si="28"/>
        <v>0</v>
      </c>
      <c r="AU26" s="137">
        <f>epargne_mensuelle!T26</f>
        <v>0</v>
      </c>
      <c r="AV26" s="93">
        <f t="shared" si="29"/>
        <v>177912.53883031453</v>
      </c>
      <c r="AW26" s="93">
        <f t="shared" si="30"/>
        <v>0</v>
      </c>
      <c r="AX26" s="137">
        <f>epargne_mensuelle!U26</f>
        <v>0</v>
      </c>
      <c r="AY26" s="93">
        <f t="shared" si="31"/>
        <v>177912.53883031453</v>
      </c>
      <c r="AZ26" s="93">
        <f t="shared" si="32"/>
        <v>0</v>
      </c>
      <c r="BA26" s="137">
        <f>epargne_mensuelle!V26</f>
        <v>0</v>
      </c>
      <c r="BB26" s="93">
        <f t="shared" si="33"/>
        <v>177912.53883031453</v>
      </c>
      <c r="BC26" s="93">
        <f t="shared" si="34"/>
        <v>0</v>
      </c>
      <c r="BD26" s="137">
        <f>epargne_mensuelle!W26</f>
        <v>0</v>
      </c>
      <c r="BE26" s="93">
        <f t="shared" si="35"/>
        <v>177912.53883031453</v>
      </c>
      <c r="BF26" s="93">
        <f t="shared" si="36"/>
        <v>0</v>
      </c>
      <c r="BG26" s="137">
        <f>epargne_mensuelle!X26</f>
        <v>0</v>
      </c>
      <c r="BH26" s="93">
        <f t="shared" si="37"/>
        <v>177912.53883031453</v>
      </c>
      <c r="BI26" s="93">
        <f t="shared" si="38"/>
        <v>0</v>
      </c>
      <c r="BJ26" s="137">
        <f>epargne_mensuelle!Y26</f>
        <v>0</v>
      </c>
      <c r="BK26" s="93">
        <f t="shared" si="39"/>
        <v>177912.53883031453</v>
      </c>
      <c r="BL26" s="93">
        <f t="shared" si="40"/>
        <v>0</v>
      </c>
      <c r="BM26" s="137">
        <f>epargne_mensuelle!Z26</f>
        <v>0</v>
      </c>
      <c r="BN26" s="93">
        <f t="shared" si="41"/>
        <v>177912.53883031453</v>
      </c>
      <c r="BO26" s="93">
        <f t="shared" si="42"/>
        <v>0</v>
      </c>
      <c r="BP26" s="137">
        <f>epargne_mensuelle!AA26</f>
        <v>0</v>
      </c>
      <c r="BQ26" s="93">
        <f t="shared" si="43"/>
        <v>177912.53883031453</v>
      </c>
      <c r="BR26" s="93">
        <f t="shared" si="44"/>
        <v>0</v>
      </c>
      <c r="BS26" s="137">
        <f>epargne_mensuelle!AB26</f>
        <v>0</v>
      </c>
      <c r="BT26" s="93">
        <f t="shared" si="45"/>
        <v>177912.53883031453</v>
      </c>
      <c r="BU26" s="93">
        <f t="shared" si="46"/>
        <v>0</v>
      </c>
      <c r="BV26" s="94">
        <f>cumul_epargne!C26</f>
        <v>696021.67479701887</v>
      </c>
      <c r="BW26" s="95">
        <f t="shared" si="50"/>
        <v>115952.56716303248</v>
      </c>
      <c r="BX26" s="134">
        <f t="shared" si="53"/>
        <v>811974.24196005135</v>
      </c>
      <c r="BY26" s="147"/>
      <c r="BZ26" s="135">
        <f t="shared" si="51"/>
        <v>811974.24196005135</v>
      </c>
      <c r="CA26" s="96">
        <f t="shared" si="52"/>
        <v>0.16659332799779228</v>
      </c>
      <c r="CB26" s="113">
        <f t="shared" si="47"/>
        <v>1.7897982414983291E-2</v>
      </c>
      <c r="CC26" s="119">
        <f t="shared" si="48"/>
        <v>77476.839613967342</v>
      </c>
      <c r="CD26" s="8" t="str">
        <f t="shared" si="54"/>
        <v>ACTIONNIRE25</v>
      </c>
    </row>
    <row r="27" spans="1:82" ht="18.5" thickBot="1" x14ac:dyDescent="0.45">
      <c r="A27" s="81">
        <f>epargne_mensuelle!A27</f>
        <v>26</v>
      </c>
      <c r="B27" s="81" t="str">
        <f>epargne_mensuelle!B27</f>
        <v>ACTIONNIRE26</v>
      </c>
      <c r="C27" s="146">
        <f>SUM(epargne_mensuelle!C27:E27)</f>
        <v>290762.86257526511</v>
      </c>
      <c r="D27" s="93">
        <f t="shared" si="0"/>
        <v>36752.468707348504</v>
      </c>
      <c r="E27" s="146">
        <f>epargne_mensuelle!F27</f>
        <v>0</v>
      </c>
      <c r="F27" s="93">
        <f t="shared" si="1"/>
        <v>43530.529876868954</v>
      </c>
      <c r="G27" s="93">
        <f t="shared" si="2"/>
        <v>0</v>
      </c>
      <c r="H27" s="146">
        <f>epargne_mensuelle!G27</f>
        <v>0</v>
      </c>
      <c r="I27" s="93">
        <f t="shared" si="3"/>
        <v>49595.80907371801</v>
      </c>
      <c r="J27" s="93">
        <f t="shared" si="4"/>
        <v>4712.2438586811813</v>
      </c>
      <c r="K27" s="146">
        <f>epargne_mensuelle!H27</f>
        <v>0</v>
      </c>
      <c r="L27" s="93">
        <f t="shared" si="5"/>
        <v>42205.807151743895</v>
      </c>
      <c r="M27" s="93">
        <f t="shared" si="6"/>
        <v>1633.2333042898667</v>
      </c>
      <c r="N27" s="146">
        <f>epargne_mensuelle!I27</f>
        <v>0</v>
      </c>
      <c r="O27" s="93">
        <f t="shared" si="7"/>
        <v>36982.847090728334</v>
      </c>
      <c r="P27" s="93">
        <f t="shared" si="8"/>
        <v>584.72725882013697</v>
      </c>
      <c r="Q27" s="137">
        <f>epargne_mensuelle!J27</f>
        <v>0</v>
      </c>
      <c r="R27" s="93">
        <f t="shared" si="9"/>
        <v>57238.308545236527</v>
      </c>
      <c r="S27" s="93">
        <f t="shared" si="10"/>
        <v>4756.4798054384637</v>
      </c>
      <c r="T27" s="137">
        <f>epargne_mensuelle!K27</f>
        <v>0</v>
      </c>
      <c r="U27" s="93">
        <f t="shared" si="11"/>
        <v>74322.914000374207</v>
      </c>
      <c r="V27" s="93">
        <f t="shared" si="12"/>
        <v>0</v>
      </c>
      <c r="W27" s="137">
        <f>epargne_mensuelle!L27</f>
        <v>0</v>
      </c>
      <c r="X27" s="93">
        <f t="shared" si="13"/>
        <v>74322.914000374207</v>
      </c>
      <c r="Y27" s="93">
        <f t="shared" si="14"/>
        <v>0</v>
      </c>
      <c r="Z27" s="137">
        <f>epargne_mensuelle!M27</f>
        <v>0</v>
      </c>
      <c r="AA27" s="93">
        <f t="shared" si="15"/>
        <v>74322.914000374207</v>
      </c>
      <c r="AB27" s="93">
        <f t="shared" si="16"/>
        <v>0</v>
      </c>
      <c r="AC27" s="137">
        <f>epargne_mensuelle!N27</f>
        <v>0</v>
      </c>
      <c r="AD27" s="93">
        <f t="shared" si="17"/>
        <v>74322.914000374207</v>
      </c>
      <c r="AE27" s="93">
        <f t="shared" si="18"/>
        <v>0</v>
      </c>
      <c r="AF27" s="137">
        <f>epargne_mensuelle!O27</f>
        <v>0</v>
      </c>
      <c r="AG27" s="93">
        <f t="shared" si="19"/>
        <v>74322.914000374207</v>
      </c>
      <c r="AH27" s="93">
        <f t="shared" si="20"/>
        <v>0</v>
      </c>
      <c r="AI27" s="137">
        <f>epargne_mensuelle!P27</f>
        <v>0</v>
      </c>
      <c r="AJ27" s="93">
        <f t="shared" si="21"/>
        <v>74322.914000374207</v>
      </c>
      <c r="AK27" s="93">
        <f t="shared" si="22"/>
        <v>0</v>
      </c>
      <c r="AL27" s="137">
        <f>epargne_mensuelle!Q27</f>
        <v>0</v>
      </c>
      <c r="AM27" s="93">
        <f t="shared" si="23"/>
        <v>74322.914000374207</v>
      </c>
      <c r="AN27" s="93">
        <f t="shared" si="24"/>
        <v>0</v>
      </c>
      <c r="AO27" s="137">
        <f>epargne_mensuelle!R27</f>
        <v>0</v>
      </c>
      <c r="AP27" s="93">
        <f t="shared" si="25"/>
        <v>74322.914000374207</v>
      </c>
      <c r="AQ27" s="93">
        <f t="shared" si="26"/>
        <v>0</v>
      </c>
      <c r="AR27" s="137">
        <f>epargne_mensuelle!S27</f>
        <v>0</v>
      </c>
      <c r="AS27" s="93">
        <f t="shared" si="27"/>
        <v>74322.914000374207</v>
      </c>
      <c r="AT27" s="93">
        <f t="shared" si="28"/>
        <v>0</v>
      </c>
      <c r="AU27" s="137">
        <f>epargne_mensuelle!T27</f>
        <v>0</v>
      </c>
      <c r="AV27" s="93">
        <f t="shared" si="29"/>
        <v>74322.914000374207</v>
      </c>
      <c r="AW27" s="93">
        <f t="shared" si="30"/>
        <v>0</v>
      </c>
      <c r="AX27" s="137">
        <f>epargne_mensuelle!U27</f>
        <v>0</v>
      </c>
      <c r="AY27" s="93">
        <f t="shared" si="31"/>
        <v>74322.914000374207</v>
      </c>
      <c r="AZ27" s="93">
        <f t="shared" si="32"/>
        <v>0</v>
      </c>
      <c r="BA27" s="137">
        <f>epargne_mensuelle!V27</f>
        <v>0</v>
      </c>
      <c r="BB27" s="93">
        <f t="shared" si="33"/>
        <v>74322.914000374207</v>
      </c>
      <c r="BC27" s="93">
        <f t="shared" si="34"/>
        <v>0</v>
      </c>
      <c r="BD27" s="137">
        <f>epargne_mensuelle!W27</f>
        <v>0</v>
      </c>
      <c r="BE27" s="93">
        <f t="shared" si="35"/>
        <v>74322.914000374207</v>
      </c>
      <c r="BF27" s="93">
        <f t="shared" si="36"/>
        <v>0</v>
      </c>
      <c r="BG27" s="137">
        <f>epargne_mensuelle!X27</f>
        <v>0</v>
      </c>
      <c r="BH27" s="93">
        <f t="shared" si="37"/>
        <v>74322.914000374207</v>
      </c>
      <c r="BI27" s="93">
        <f t="shared" si="38"/>
        <v>0</v>
      </c>
      <c r="BJ27" s="137">
        <f>epargne_mensuelle!Y27</f>
        <v>0</v>
      </c>
      <c r="BK27" s="93">
        <f t="shared" si="39"/>
        <v>74322.914000374207</v>
      </c>
      <c r="BL27" s="93">
        <f t="shared" si="40"/>
        <v>0</v>
      </c>
      <c r="BM27" s="137">
        <f>epargne_mensuelle!Z27</f>
        <v>0</v>
      </c>
      <c r="BN27" s="93">
        <f t="shared" si="41"/>
        <v>74322.914000374207</v>
      </c>
      <c r="BO27" s="93">
        <f t="shared" si="42"/>
        <v>0</v>
      </c>
      <c r="BP27" s="137">
        <f>epargne_mensuelle!AA27</f>
        <v>0</v>
      </c>
      <c r="BQ27" s="93">
        <f t="shared" si="43"/>
        <v>74322.914000374207</v>
      </c>
      <c r="BR27" s="93">
        <f t="shared" si="44"/>
        <v>0</v>
      </c>
      <c r="BS27" s="137">
        <f>epargne_mensuelle!AB27</f>
        <v>0</v>
      </c>
      <c r="BT27" s="93">
        <f t="shared" si="45"/>
        <v>74322.914000374207</v>
      </c>
      <c r="BU27" s="93">
        <f t="shared" si="46"/>
        <v>0</v>
      </c>
      <c r="BV27" s="94">
        <f>cumul_epargne!C27</f>
        <v>290762.86257526511</v>
      </c>
      <c r="BW27" s="95">
        <f t="shared" si="50"/>
        <v>48439.15293457816</v>
      </c>
      <c r="BX27" s="134">
        <f t="shared" si="53"/>
        <v>339202.01550984324</v>
      </c>
      <c r="BY27" s="147"/>
      <c r="BZ27" s="135">
        <f t="shared" si="51"/>
        <v>339202.01550984324</v>
      </c>
      <c r="CA27" s="96">
        <f t="shared" si="52"/>
        <v>0.16659332799779233</v>
      </c>
      <c r="CB27" s="113">
        <f t="shared" si="47"/>
        <v>7.4768772148079482E-3</v>
      </c>
      <c r="CC27" s="119">
        <f t="shared" si="48"/>
        <v>32365.928368554778</v>
      </c>
      <c r="CD27" s="8" t="str">
        <f t="shared" si="54"/>
        <v>ACTIONNIRE26</v>
      </c>
    </row>
    <row r="28" spans="1:82" ht="18.5" thickBot="1" x14ac:dyDescent="0.45">
      <c r="A28" s="81">
        <f>epargne_mensuelle!A28</f>
        <v>27</v>
      </c>
      <c r="B28" s="81" t="str">
        <f>epargne_mensuelle!B28</f>
        <v>ACTIONNIRE27</v>
      </c>
      <c r="C28" s="146">
        <f>SUM(epargne_mensuelle!C28:E28)</f>
        <v>29035.526051986621</v>
      </c>
      <c r="D28" s="93">
        <f t="shared" si="0"/>
        <v>3670.0947747438354</v>
      </c>
      <c r="E28" s="146">
        <f>epargne_mensuelle!F28</f>
        <v>0</v>
      </c>
      <c r="F28" s="93">
        <f t="shared" si="1"/>
        <v>4346.9507181971549</v>
      </c>
      <c r="G28" s="93">
        <f t="shared" si="2"/>
        <v>0</v>
      </c>
      <c r="H28" s="146">
        <f>epargne_mensuelle!G28</f>
        <v>0</v>
      </c>
      <c r="I28" s="93">
        <f t="shared" si="3"/>
        <v>4952.6283847770701</v>
      </c>
      <c r="J28" s="93">
        <f t="shared" si="4"/>
        <v>470.56380622416748</v>
      </c>
      <c r="K28" s="146">
        <f>epargne_mensuelle!H28</f>
        <v>0</v>
      </c>
      <c r="L28" s="93">
        <f t="shared" si="5"/>
        <v>4214.664150179653</v>
      </c>
      <c r="M28" s="93">
        <f t="shared" si="6"/>
        <v>163.09437778837832</v>
      </c>
      <c r="N28" s="146">
        <f>epargne_mensuelle!I28</f>
        <v>25000</v>
      </c>
      <c r="O28" s="93">
        <f t="shared" si="7"/>
        <v>28693.100317794258</v>
      </c>
      <c r="P28" s="93">
        <f t="shared" si="8"/>
        <v>453.65998606638436</v>
      </c>
      <c r="Q28" s="137">
        <f>epargne_mensuelle!J28</f>
        <v>0</v>
      </c>
      <c r="R28" s="93">
        <f t="shared" si="9"/>
        <v>24177.531097486157</v>
      </c>
      <c r="S28" s="93">
        <f t="shared" si="10"/>
        <v>2009.142850887474</v>
      </c>
      <c r="T28" s="137">
        <f>epargne_mensuelle!K28</f>
        <v>0</v>
      </c>
      <c r="U28" s="93">
        <f t="shared" si="11"/>
        <v>23789.422347439257</v>
      </c>
      <c r="V28" s="93">
        <f t="shared" si="12"/>
        <v>0</v>
      </c>
      <c r="W28" s="137">
        <f>epargne_mensuelle!L28</f>
        <v>0</v>
      </c>
      <c r="X28" s="93">
        <f t="shared" si="13"/>
        <v>23789.422347439257</v>
      </c>
      <c r="Y28" s="93">
        <f t="shared" si="14"/>
        <v>0</v>
      </c>
      <c r="Z28" s="137">
        <f>epargne_mensuelle!M28</f>
        <v>0</v>
      </c>
      <c r="AA28" s="93">
        <f t="shared" si="15"/>
        <v>23789.422347439257</v>
      </c>
      <c r="AB28" s="93">
        <f t="shared" si="16"/>
        <v>0</v>
      </c>
      <c r="AC28" s="137">
        <f>epargne_mensuelle!N28</f>
        <v>0</v>
      </c>
      <c r="AD28" s="93">
        <f t="shared" si="17"/>
        <v>23789.422347439257</v>
      </c>
      <c r="AE28" s="93">
        <f t="shared" si="18"/>
        <v>0</v>
      </c>
      <c r="AF28" s="137">
        <f>epargne_mensuelle!O28</f>
        <v>0</v>
      </c>
      <c r="AG28" s="93">
        <f t="shared" si="19"/>
        <v>23789.422347439257</v>
      </c>
      <c r="AH28" s="93">
        <f t="shared" si="20"/>
        <v>0</v>
      </c>
      <c r="AI28" s="137">
        <f>epargne_mensuelle!P28</f>
        <v>0</v>
      </c>
      <c r="AJ28" s="93">
        <f t="shared" si="21"/>
        <v>23789.422347439257</v>
      </c>
      <c r="AK28" s="93">
        <f t="shared" si="22"/>
        <v>0</v>
      </c>
      <c r="AL28" s="137">
        <f>epargne_mensuelle!Q28</f>
        <v>0</v>
      </c>
      <c r="AM28" s="93">
        <f t="shared" si="23"/>
        <v>23789.422347439257</v>
      </c>
      <c r="AN28" s="93">
        <f t="shared" si="24"/>
        <v>0</v>
      </c>
      <c r="AO28" s="137">
        <f>epargne_mensuelle!R28</f>
        <v>0</v>
      </c>
      <c r="AP28" s="93">
        <f t="shared" si="25"/>
        <v>23789.422347439257</v>
      </c>
      <c r="AQ28" s="93">
        <f t="shared" si="26"/>
        <v>0</v>
      </c>
      <c r="AR28" s="137">
        <f>epargne_mensuelle!S28</f>
        <v>0</v>
      </c>
      <c r="AS28" s="93">
        <f t="shared" si="27"/>
        <v>23789.422347439257</v>
      </c>
      <c r="AT28" s="93">
        <f t="shared" si="28"/>
        <v>0</v>
      </c>
      <c r="AU28" s="137">
        <f>epargne_mensuelle!T28</f>
        <v>0</v>
      </c>
      <c r="AV28" s="93">
        <f t="shared" si="29"/>
        <v>23789.422347439257</v>
      </c>
      <c r="AW28" s="93">
        <f t="shared" si="30"/>
        <v>0</v>
      </c>
      <c r="AX28" s="137">
        <f>epargne_mensuelle!U28</f>
        <v>0</v>
      </c>
      <c r="AY28" s="93">
        <f t="shared" si="31"/>
        <v>23789.422347439257</v>
      </c>
      <c r="AZ28" s="93">
        <f t="shared" si="32"/>
        <v>0</v>
      </c>
      <c r="BA28" s="137">
        <f>epargne_mensuelle!V28</f>
        <v>0</v>
      </c>
      <c r="BB28" s="93">
        <f t="shared" si="33"/>
        <v>23789.422347439257</v>
      </c>
      <c r="BC28" s="93">
        <f t="shared" si="34"/>
        <v>0</v>
      </c>
      <c r="BD28" s="137">
        <f>epargne_mensuelle!W28</f>
        <v>0</v>
      </c>
      <c r="BE28" s="93">
        <f t="shared" si="35"/>
        <v>23789.422347439257</v>
      </c>
      <c r="BF28" s="93">
        <f t="shared" si="36"/>
        <v>0</v>
      </c>
      <c r="BG28" s="137">
        <f>epargne_mensuelle!X28</f>
        <v>0</v>
      </c>
      <c r="BH28" s="93">
        <f t="shared" si="37"/>
        <v>23789.422347439257</v>
      </c>
      <c r="BI28" s="93">
        <f t="shared" si="38"/>
        <v>0</v>
      </c>
      <c r="BJ28" s="137">
        <f>epargne_mensuelle!Y28</f>
        <v>0</v>
      </c>
      <c r="BK28" s="93">
        <f t="shared" si="39"/>
        <v>23789.422347439257</v>
      </c>
      <c r="BL28" s="93">
        <f t="shared" si="40"/>
        <v>0</v>
      </c>
      <c r="BM28" s="137">
        <f>epargne_mensuelle!Z28</f>
        <v>0</v>
      </c>
      <c r="BN28" s="93">
        <f t="shared" si="41"/>
        <v>23789.422347439257</v>
      </c>
      <c r="BO28" s="93">
        <f t="shared" si="42"/>
        <v>0</v>
      </c>
      <c r="BP28" s="137">
        <f>epargne_mensuelle!AA28</f>
        <v>0</v>
      </c>
      <c r="BQ28" s="93">
        <f t="shared" si="43"/>
        <v>23789.422347439257</v>
      </c>
      <c r="BR28" s="93">
        <f t="shared" si="44"/>
        <v>0</v>
      </c>
      <c r="BS28" s="137">
        <f>epargne_mensuelle!AB28</f>
        <v>0</v>
      </c>
      <c r="BT28" s="93">
        <f t="shared" si="45"/>
        <v>23789.422347439257</v>
      </c>
      <c r="BU28" s="93">
        <f t="shared" si="46"/>
        <v>0</v>
      </c>
      <c r="BV28" s="94">
        <f>cumul_epargne!C28</f>
        <v>54035.526051986621</v>
      </c>
      <c r="BW28" s="95">
        <f t="shared" si="50"/>
        <v>6766.5557957102401</v>
      </c>
      <c r="BX28" s="134">
        <f t="shared" si="53"/>
        <v>60802.081847696863</v>
      </c>
      <c r="BY28" s="147"/>
      <c r="BZ28" s="135">
        <f t="shared" si="51"/>
        <v>60802.081847696863</v>
      </c>
      <c r="CA28" s="96">
        <f t="shared" si="52"/>
        <v>0.12522420507575435</v>
      </c>
      <c r="CB28" s="113">
        <f t="shared" si="47"/>
        <v>1.3402328983706773E-3</v>
      </c>
      <c r="CC28" s="119">
        <f t="shared" si="48"/>
        <v>5801.6041643610306</v>
      </c>
      <c r="CD28" s="8" t="str">
        <f t="shared" si="54"/>
        <v>ACTIONNIRE27</v>
      </c>
    </row>
    <row r="29" spans="1:82" ht="18.5" thickBot="1" x14ac:dyDescent="0.45">
      <c r="A29" s="81">
        <f>epargne_mensuelle!A29</f>
        <v>28</v>
      </c>
      <c r="B29" s="81" t="str">
        <f>epargne_mensuelle!B29</f>
        <v>ACTIONNIRE28</v>
      </c>
      <c r="C29" s="146">
        <f>SUM(epargne_mensuelle!C29:E29)</f>
        <v>167241.08854495053</v>
      </c>
      <c r="D29" s="93">
        <f t="shared" si="0"/>
        <v>21139.298254570396</v>
      </c>
      <c r="E29" s="146">
        <f>epargne_mensuelle!F29</f>
        <v>0</v>
      </c>
      <c r="F29" s="93">
        <f t="shared" si="1"/>
        <v>25037.905931544366</v>
      </c>
      <c r="G29" s="93">
        <f t="shared" si="2"/>
        <v>0</v>
      </c>
      <c r="H29" s="146">
        <f>epargne_mensuelle!G29</f>
        <v>0</v>
      </c>
      <c r="I29" s="93">
        <f t="shared" si="3"/>
        <v>28526.535415467912</v>
      </c>
      <c r="J29" s="93">
        <f t="shared" si="4"/>
        <v>2710.3901283510736</v>
      </c>
      <c r="K29" s="146">
        <f>epargne_mensuelle!H29</f>
        <v>0</v>
      </c>
      <c r="L29" s="93">
        <f t="shared" si="5"/>
        <v>24275.951434990344</v>
      </c>
      <c r="M29" s="93">
        <f t="shared" si="6"/>
        <v>939.40372315119657</v>
      </c>
      <c r="N29" s="146">
        <f>epargne_mensuelle!I29</f>
        <v>0</v>
      </c>
      <c r="O29" s="93">
        <f t="shared" si="7"/>
        <v>21271.807376514043</v>
      </c>
      <c r="P29" s="93">
        <f t="shared" si="8"/>
        <v>336.32363638486089</v>
      </c>
      <c r="Q29" s="137">
        <f>epargne_mensuelle!J29</f>
        <v>0</v>
      </c>
      <c r="R29" s="93">
        <f t="shared" si="9"/>
        <v>32922.351027890283</v>
      </c>
      <c r="S29" s="93">
        <f t="shared" si="10"/>
        <v>2735.8337762192391</v>
      </c>
      <c r="T29" s="137">
        <f>epargne_mensuelle!K29</f>
        <v>0</v>
      </c>
      <c r="U29" s="93">
        <f t="shared" si="11"/>
        <v>42749.08057777775</v>
      </c>
      <c r="V29" s="93">
        <f t="shared" si="12"/>
        <v>0</v>
      </c>
      <c r="W29" s="137">
        <f>epargne_mensuelle!L29</f>
        <v>0</v>
      </c>
      <c r="X29" s="93">
        <f t="shared" si="13"/>
        <v>42749.08057777775</v>
      </c>
      <c r="Y29" s="93">
        <f t="shared" si="14"/>
        <v>0</v>
      </c>
      <c r="Z29" s="137">
        <f>epargne_mensuelle!M29</f>
        <v>0</v>
      </c>
      <c r="AA29" s="93">
        <f t="shared" si="15"/>
        <v>42749.08057777775</v>
      </c>
      <c r="AB29" s="93">
        <f t="shared" si="16"/>
        <v>0</v>
      </c>
      <c r="AC29" s="137">
        <f>epargne_mensuelle!N29</f>
        <v>0</v>
      </c>
      <c r="AD29" s="93">
        <f t="shared" si="17"/>
        <v>42749.08057777775</v>
      </c>
      <c r="AE29" s="93">
        <f t="shared" si="18"/>
        <v>0</v>
      </c>
      <c r="AF29" s="137">
        <f>epargne_mensuelle!O29</f>
        <v>0</v>
      </c>
      <c r="AG29" s="93">
        <f t="shared" si="19"/>
        <v>42749.08057777775</v>
      </c>
      <c r="AH29" s="93">
        <f t="shared" si="20"/>
        <v>0</v>
      </c>
      <c r="AI29" s="137">
        <f>epargne_mensuelle!P29</f>
        <v>0</v>
      </c>
      <c r="AJ29" s="93">
        <f t="shared" si="21"/>
        <v>42749.08057777775</v>
      </c>
      <c r="AK29" s="93">
        <f t="shared" si="22"/>
        <v>0</v>
      </c>
      <c r="AL29" s="137">
        <f>epargne_mensuelle!Q29</f>
        <v>0</v>
      </c>
      <c r="AM29" s="93">
        <f t="shared" si="23"/>
        <v>42749.08057777775</v>
      </c>
      <c r="AN29" s="93">
        <f t="shared" si="24"/>
        <v>0</v>
      </c>
      <c r="AO29" s="137">
        <f>epargne_mensuelle!R29</f>
        <v>0</v>
      </c>
      <c r="AP29" s="93">
        <f t="shared" si="25"/>
        <v>42749.08057777775</v>
      </c>
      <c r="AQ29" s="93">
        <f t="shared" si="26"/>
        <v>0</v>
      </c>
      <c r="AR29" s="137">
        <f>epargne_mensuelle!S29</f>
        <v>0</v>
      </c>
      <c r="AS29" s="93">
        <f t="shared" si="27"/>
        <v>42749.08057777775</v>
      </c>
      <c r="AT29" s="93">
        <f t="shared" si="28"/>
        <v>0</v>
      </c>
      <c r="AU29" s="137">
        <f>epargne_mensuelle!T29</f>
        <v>0</v>
      </c>
      <c r="AV29" s="93">
        <f t="shared" si="29"/>
        <v>42749.08057777775</v>
      </c>
      <c r="AW29" s="93">
        <f t="shared" si="30"/>
        <v>0</v>
      </c>
      <c r="AX29" s="137">
        <f>epargne_mensuelle!U29</f>
        <v>0</v>
      </c>
      <c r="AY29" s="93">
        <f t="shared" si="31"/>
        <v>42749.08057777775</v>
      </c>
      <c r="AZ29" s="93">
        <f t="shared" si="32"/>
        <v>0</v>
      </c>
      <c r="BA29" s="137">
        <f>epargne_mensuelle!V29</f>
        <v>0</v>
      </c>
      <c r="BB29" s="93">
        <f t="shared" si="33"/>
        <v>42749.08057777775</v>
      </c>
      <c r="BC29" s="93">
        <f t="shared" si="34"/>
        <v>0</v>
      </c>
      <c r="BD29" s="137">
        <f>epargne_mensuelle!W29</f>
        <v>0</v>
      </c>
      <c r="BE29" s="93">
        <f t="shared" si="35"/>
        <v>42749.08057777775</v>
      </c>
      <c r="BF29" s="93">
        <f t="shared" si="36"/>
        <v>0</v>
      </c>
      <c r="BG29" s="137">
        <f>epargne_mensuelle!X29</f>
        <v>0</v>
      </c>
      <c r="BH29" s="93">
        <f t="shared" si="37"/>
        <v>42749.08057777775</v>
      </c>
      <c r="BI29" s="93">
        <f t="shared" si="38"/>
        <v>0</v>
      </c>
      <c r="BJ29" s="137">
        <f>epargne_mensuelle!Y29</f>
        <v>0</v>
      </c>
      <c r="BK29" s="93">
        <f t="shared" si="39"/>
        <v>42749.08057777775</v>
      </c>
      <c r="BL29" s="93">
        <f t="shared" si="40"/>
        <v>0</v>
      </c>
      <c r="BM29" s="137">
        <f>epargne_mensuelle!Z29</f>
        <v>0</v>
      </c>
      <c r="BN29" s="93">
        <f t="shared" si="41"/>
        <v>42749.08057777775</v>
      </c>
      <c r="BO29" s="93">
        <f t="shared" si="42"/>
        <v>0</v>
      </c>
      <c r="BP29" s="137">
        <f>epargne_mensuelle!AA29</f>
        <v>0</v>
      </c>
      <c r="BQ29" s="93">
        <f t="shared" si="43"/>
        <v>42749.08057777775</v>
      </c>
      <c r="BR29" s="93">
        <f t="shared" si="44"/>
        <v>0</v>
      </c>
      <c r="BS29" s="137">
        <f>epargne_mensuelle!AB29</f>
        <v>0</v>
      </c>
      <c r="BT29" s="93">
        <f t="shared" si="45"/>
        <v>42749.08057777775</v>
      </c>
      <c r="BU29" s="93">
        <f t="shared" si="46"/>
        <v>0</v>
      </c>
      <c r="BV29" s="94">
        <f>cumul_epargne!C29</f>
        <v>167241.08854495053</v>
      </c>
      <c r="BW29" s="95">
        <f t="shared" ref="BW29:BW31" si="55">D29+G29+J29+M29+P29+S29+V29+Y29+AB29+AE29+AH29+AK29+AN29+AQ29+AT29+AW29+AZ29+BC29+BF29+BI29+BL29+BO29+BR29+BU29</f>
        <v>27861.249518676766</v>
      </c>
      <c r="BX29" s="134">
        <f t="shared" ref="BX29:BX31" si="56">IF(BV29="",BW29,BV29+BW29)</f>
        <v>195102.33806362731</v>
      </c>
      <c r="BY29" s="147"/>
      <c r="BZ29" s="135">
        <f t="shared" ref="BZ29:BZ31" si="57">BX29+BY29</f>
        <v>195102.33806362731</v>
      </c>
      <c r="CA29" s="96">
        <f t="shared" ref="CA29:CA31" si="58">IF(BV29="","",BW29/BV29)</f>
        <v>0.16659332799779228</v>
      </c>
      <c r="CB29" s="113">
        <f t="shared" si="47"/>
        <v>4.3005529428564405E-3</v>
      </c>
      <c r="CC29" s="119">
        <f t="shared" si="48"/>
        <v>18616.246394684746</v>
      </c>
      <c r="CD29" s="8" t="str">
        <f t="shared" ref="CD29:CD31" si="59">B29</f>
        <v>ACTIONNIRE28</v>
      </c>
    </row>
    <row r="30" spans="1:82" ht="18.5" thickBot="1" x14ac:dyDescent="0.45">
      <c r="A30" s="81">
        <f>epargne_mensuelle!A30</f>
        <v>29</v>
      </c>
      <c r="B30" s="81" t="str">
        <f>epargne_mensuelle!B30</f>
        <v>ACTIONNIRE29</v>
      </c>
      <c r="C30" s="146">
        <f>SUM(epargne_mensuelle!C30:E30)</f>
        <v>1585156.5194317778</v>
      </c>
      <c r="D30" s="93">
        <f t="shared" si="0"/>
        <v>200364.01781395124</v>
      </c>
      <c r="E30" s="146">
        <f>epargne_mensuelle!F30</f>
        <v>0</v>
      </c>
      <c r="F30" s="93">
        <f t="shared" si="1"/>
        <v>237316.0816257165</v>
      </c>
      <c r="G30" s="93">
        <f t="shared" si="2"/>
        <v>0</v>
      </c>
      <c r="H30" s="146">
        <f>epargne_mensuelle!G30</f>
        <v>0</v>
      </c>
      <c r="I30" s="93">
        <f t="shared" si="3"/>
        <v>270382.2606277563</v>
      </c>
      <c r="J30" s="93">
        <f t="shared" si="4"/>
        <v>25689.814743130355</v>
      </c>
      <c r="K30" s="146">
        <f>epargne_mensuelle!H30</f>
        <v>0</v>
      </c>
      <c r="L30" s="93">
        <f t="shared" si="5"/>
        <v>230094.06968934744</v>
      </c>
      <c r="M30" s="93">
        <f t="shared" si="6"/>
        <v>8903.923964423182</v>
      </c>
      <c r="N30" s="146">
        <f>epargne_mensuelle!I30</f>
        <v>440000</v>
      </c>
      <c r="O30" s="93">
        <f t="shared" si="7"/>
        <v>641619.97530837229</v>
      </c>
      <c r="P30" s="93">
        <f t="shared" si="8"/>
        <v>10144.505328265139</v>
      </c>
      <c r="Q30" s="137">
        <f>epargne_mensuelle!J30</f>
        <v>0</v>
      </c>
      <c r="R30" s="93">
        <f t="shared" si="9"/>
        <v>636973.34096809512</v>
      </c>
      <c r="S30" s="93">
        <f t="shared" si="10"/>
        <v>52932.221617327203</v>
      </c>
      <c r="T30" s="137">
        <f>epargne_mensuelle!K30</f>
        <v>0</v>
      </c>
      <c r="U30" s="93">
        <f t="shared" si="11"/>
        <v>693256.28817303327</v>
      </c>
      <c r="V30" s="93">
        <f t="shared" si="12"/>
        <v>0</v>
      </c>
      <c r="W30" s="137">
        <f>epargne_mensuelle!L30</f>
        <v>0</v>
      </c>
      <c r="X30" s="93">
        <f t="shared" si="13"/>
        <v>693256.28817303327</v>
      </c>
      <c r="Y30" s="93">
        <f t="shared" si="14"/>
        <v>0</v>
      </c>
      <c r="Z30" s="137">
        <f>epargne_mensuelle!M30</f>
        <v>0</v>
      </c>
      <c r="AA30" s="93">
        <f t="shared" si="15"/>
        <v>693256.28817303327</v>
      </c>
      <c r="AB30" s="93">
        <f t="shared" si="16"/>
        <v>0</v>
      </c>
      <c r="AC30" s="137">
        <f>epargne_mensuelle!N30</f>
        <v>0</v>
      </c>
      <c r="AD30" s="93">
        <f t="shared" si="17"/>
        <v>693256.28817303327</v>
      </c>
      <c r="AE30" s="93">
        <f t="shared" si="18"/>
        <v>0</v>
      </c>
      <c r="AF30" s="137">
        <f>epargne_mensuelle!O30</f>
        <v>0</v>
      </c>
      <c r="AG30" s="93">
        <f t="shared" si="19"/>
        <v>693256.28817303327</v>
      </c>
      <c r="AH30" s="93">
        <f t="shared" si="20"/>
        <v>0</v>
      </c>
      <c r="AI30" s="137">
        <f>epargne_mensuelle!P30</f>
        <v>0</v>
      </c>
      <c r="AJ30" s="93">
        <f t="shared" si="21"/>
        <v>693256.28817303327</v>
      </c>
      <c r="AK30" s="93">
        <f t="shared" si="22"/>
        <v>0</v>
      </c>
      <c r="AL30" s="137">
        <f>epargne_mensuelle!Q30</f>
        <v>0</v>
      </c>
      <c r="AM30" s="93">
        <f t="shared" si="23"/>
        <v>693256.28817303327</v>
      </c>
      <c r="AN30" s="93">
        <f t="shared" si="24"/>
        <v>0</v>
      </c>
      <c r="AO30" s="137">
        <f>epargne_mensuelle!R30</f>
        <v>0</v>
      </c>
      <c r="AP30" s="93">
        <f t="shared" si="25"/>
        <v>693256.28817303327</v>
      </c>
      <c r="AQ30" s="93">
        <f t="shared" si="26"/>
        <v>0</v>
      </c>
      <c r="AR30" s="137">
        <f>epargne_mensuelle!S30</f>
        <v>0</v>
      </c>
      <c r="AS30" s="93">
        <f t="shared" si="27"/>
        <v>693256.28817303327</v>
      </c>
      <c r="AT30" s="93">
        <f t="shared" si="28"/>
        <v>0</v>
      </c>
      <c r="AU30" s="137">
        <f>epargne_mensuelle!T30</f>
        <v>0</v>
      </c>
      <c r="AV30" s="93">
        <f t="shared" si="29"/>
        <v>693256.28817303327</v>
      </c>
      <c r="AW30" s="93">
        <f t="shared" si="30"/>
        <v>0</v>
      </c>
      <c r="AX30" s="137">
        <f>epargne_mensuelle!U30</f>
        <v>0</v>
      </c>
      <c r="AY30" s="93">
        <f t="shared" si="31"/>
        <v>693256.28817303327</v>
      </c>
      <c r="AZ30" s="93">
        <f t="shared" si="32"/>
        <v>0</v>
      </c>
      <c r="BA30" s="137">
        <f>epargne_mensuelle!V30</f>
        <v>0</v>
      </c>
      <c r="BB30" s="93">
        <f t="shared" si="33"/>
        <v>693256.28817303327</v>
      </c>
      <c r="BC30" s="93">
        <f t="shared" si="34"/>
        <v>0</v>
      </c>
      <c r="BD30" s="137">
        <f>epargne_mensuelle!W30</f>
        <v>0</v>
      </c>
      <c r="BE30" s="93">
        <f t="shared" si="35"/>
        <v>693256.28817303327</v>
      </c>
      <c r="BF30" s="93">
        <f t="shared" si="36"/>
        <v>0</v>
      </c>
      <c r="BG30" s="137">
        <f>epargne_mensuelle!X30</f>
        <v>0</v>
      </c>
      <c r="BH30" s="93">
        <f t="shared" si="37"/>
        <v>693256.28817303327</v>
      </c>
      <c r="BI30" s="93">
        <f t="shared" si="38"/>
        <v>0</v>
      </c>
      <c r="BJ30" s="137">
        <f>epargne_mensuelle!Y30</f>
        <v>0</v>
      </c>
      <c r="BK30" s="93">
        <f t="shared" si="39"/>
        <v>693256.28817303327</v>
      </c>
      <c r="BL30" s="93">
        <f t="shared" si="40"/>
        <v>0</v>
      </c>
      <c r="BM30" s="137">
        <f>epargne_mensuelle!Z30</f>
        <v>0</v>
      </c>
      <c r="BN30" s="93">
        <f t="shared" si="41"/>
        <v>693256.28817303327</v>
      </c>
      <c r="BO30" s="93">
        <f t="shared" si="42"/>
        <v>0</v>
      </c>
      <c r="BP30" s="137">
        <f>epargne_mensuelle!AA30</f>
        <v>0</v>
      </c>
      <c r="BQ30" s="93">
        <f t="shared" si="43"/>
        <v>693256.28817303327</v>
      </c>
      <c r="BR30" s="93">
        <f t="shared" si="44"/>
        <v>0</v>
      </c>
      <c r="BS30" s="137">
        <f>epargne_mensuelle!AB30</f>
        <v>0</v>
      </c>
      <c r="BT30" s="93">
        <f t="shared" si="45"/>
        <v>693256.28817303327</v>
      </c>
      <c r="BU30" s="93">
        <f t="shared" si="46"/>
        <v>0</v>
      </c>
      <c r="BV30" s="94">
        <f>cumul_epargne!C30</f>
        <v>2025156.5194317778</v>
      </c>
      <c r="BW30" s="95">
        <f t="shared" si="55"/>
        <v>298034.4834670971</v>
      </c>
      <c r="BX30" s="134">
        <f t="shared" si="56"/>
        <v>2323191.0028988747</v>
      </c>
      <c r="BY30" s="147"/>
      <c r="BZ30" s="135">
        <f t="shared" si="57"/>
        <v>2323191.0028988747</v>
      </c>
      <c r="CA30" s="96">
        <f t="shared" si="58"/>
        <v>0.1471661477063117</v>
      </c>
      <c r="CB30" s="113">
        <f t="shared" si="47"/>
        <v>5.1209052661768041E-2</v>
      </c>
      <c r="CC30" s="119">
        <f t="shared" si="48"/>
        <v>221673.89976523863</v>
      </c>
      <c r="CD30" s="8" t="str">
        <f t="shared" si="59"/>
        <v>ACTIONNIRE29</v>
      </c>
    </row>
    <row r="31" spans="1:82" ht="18.5" thickBot="1" x14ac:dyDescent="0.45">
      <c r="A31" s="81">
        <f>epargne_mensuelle!A31</f>
        <v>30</v>
      </c>
      <c r="B31" s="81" t="str">
        <f>epargne_mensuelle!B31</f>
        <v>ACTIONNIRE30</v>
      </c>
      <c r="C31" s="146">
        <f>SUM(epargne_mensuelle!C31:E31)</f>
        <v>1028984.0862869273</v>
      </c>
      <c r="D31" s="93">
        <f t="shared" si="0"/>
        <v>130063.74024753805</v>
      </c>
      <c r="E31" s="146">
        <f>epargne_mensuelle!F31</f>
        <v>0</v>
      </c>
      <c r="F31" s="93">
        <f t="shared" si="1"/>
        <v>154050.69999041274</v>
      </c>
      <c r="G31" s="93">
        <f t="shared" si="2"/>
        <v>0</v>
      </c>
      <c r="H31" s="146">
        <f>epargne_mensuelle!G31</f>
        <v>0</v>
      </c>
      <c r="I31" s="93">
        <f t="shared" si="3"/>
        <v>175515.18729518092</v>
      </c>
      <c r="J31" s="93">
        <f t="shared" si="4"/>
        <v>16676.214762575124</v>
      </c>
      <c r="K31" s="146">
        <f>epargne_mensuelle!H31</f>
        <v>0</v>
      </c>
      <c r="L31" s="93">
        <f t="shared" si="5"/>
        <v>149362.62328480021</v>
      </c>
      <c r="M31" s="93">
        <f t="shared" si="6"/>
        <v>5779.8683931757814</v>
      </c>
      <c r="N31" s="146">
        <f>epargne_mensuelle!I31</f>
        <v>0</v>
      </c>
      <c r="O31" s="93">
        <f t="shared" si="7"/>
        <v>130879.0289959799</v>
      </c>
      <c r="P31" s="93">
        <f t="shared" si="8"/>
        <v>2069.2981174249935</v>
      </c>
      <c r="Q31" s="137">
        <f>epargne_mensuelle!J31</f>
        <v>0</v>
      </c>
      <c r="R31" s="93">
        <f t="shared" si="9"/>
        <v>202561.31782917646</v>
      </c>
      <c r="S31" s="93">
        <f t="shared" si="10"/>
        <v>16832.761870592742</v>
      </c>
      <c r="T31" s="137">
        <f>epargne_mensuelle!K31</f>
        <v>0</v>
      </c>
      <c r="U31" s="93">
        <f t="shared" si="11"/>
        <v>263022.22737630579</v>
      </c>
      <c r="V31" s="93">
        <f t="shared" si="12"/>
        <v>0</v>
      </c>
      <c r="W31" s="137">
        <f>epargne_mensuelle!L31</f>
        <v>0</v>
      </c>
      <c r="X31" s="93">
        <f t="shared" si="13"/>
        <v>263022.22737630579</v>
      </c>
      <c r="Y31" s="93">
        <f t="shared" si="14"/>
        <v>0</v>
      </c>
      <c r="Z31" s="137">
        <f>epargne_mensuelle!M31</f>
        <v>0</v>
      </c>
      <c r="AA31" s="93">
        <f t="shared" si="15"/>
        <v>263022.22737630579</v>
      </c>
      <c r="AB31" s="93">
        <f t="shared" si="16"/>
        <v>0</v>
      </c>
      <c r="AC31" s="137">
        <f>epargne_mensuelle!N31</f>
        <v>0</v>
      </c>
      <c r="AD31" s="93">
        <f t="shared" si="17"/>
        <v>263022.22737630579</v>
      </c>
      <c r="AE31" s="93">
        <f t="shared" si="18"/>
        <v>0</v>
      </c>
      <c r="AF31" s="137">
        <f>epargne_mensuelle!O31</f>
        <v>0</v>
      </c>
      <c r="AG31" s="93">
        <f t="shared" si="19"/>
        <v>263022.22737630579</v>
      </c>
      <c r="AH31" s="93">
        <f t="shared" si="20"/>
        <v>0</v>
      </c>
      <c r="AI31" s="137">
        <f>epargne_mensuelle!P31</f>
        <v>0</v>
      </c>
      <c r="AJ31" s="93">
        <f t="shared" si="21"/>
        <v>263022.22737630579</v>
      </c>
      <c r="AK31" s="93">
        <f t="shared" si="22"/>
        <v>0</v>
      </c>
      <c r="AL31" s="137">
        <f>epargne_mensuelle!Q31</f>
        <v>0</v>
      </c>
      <c r="AM31" s="93">
        <f t="shared" si="23"/>
        <v>263022.22737630579</v>
      </c>
      <c r="AN31" s="93">
        <f t="shared" si="24"/>
        <v>0</v>
      </c>
      <c r="AO31" s="137">
        <f>epargne_mensuelle!R31</f>
        <v>0</v>
      </c>
      <c r="AP31" s="93">
        <f t="shared" si="25"/>
        <v>263022.22737630579</v>
      </c>
      <c r="AQ31" s="93">
        <f t="shared" si="26"/>
        <v>0</v>
      </c>
      <c r="AR31" s="137">
        <f>epargne_mensuelle!S31</f>
        <v>0</v>
      </c>
      <c r="AS31" s="93">
        <f t="shared" si="27"/>
        <v>263022.22737630579</v>
      </c>
      <c r="AT31" s="93">
        <f t="shared" si="28"/>
        <v>0</v>
      </c>
      <c r="AU31" s="137">
        <f>epargne_mensuelle!T31</f>
        <v>0</v>
      </c>
      <c r="AV31" s="93">
        <f t="shared" si="29"/>
        <v>263022.22737630579</v>
      </c>
      <c r="AW31" s="93">
        <f t="shared" si="30"/>
        <v>0</v>
      </c>
      <c r="AX31" s="137">
        <f>epargne_mensuelle!U31</f>
        <v>0</v>
      </c>
      <c r="AY31" s="93">
        <f t="shared" si="31"/>
        <v>263022.22737630579</v>
      </c>
      <c r="AZ31" s="93">
        <f t="shared" si="32"/>
        <v>0</v>
      </c>
      <c r="BA31" s="137">
        <f>epargne_mensuelle!V31</f>
        <v>0</v>
      </c>
      <c r="BB31" s="93">
        <f t="shared" si="33"/>
        <v>263022.22737630579</v>
      </c>
      <c r="BC31" s="93">
        <f t="shared" si="34"/>
        <v>0</v>
      </c>
      <c r="BD31" s="137">
        <f>epargne_mensuelle!W31</f>
        <v>0</v>
      </c>
      <c r="BE31" s="93">
        <f t="shared" si="35"/>
        <v>263022.22737630579</v>
      </c>
      <c r="BF31" s="93">
        <f t="shared" si="36"/>
        <v>0</v>
      </c>
      <c r="BG31" s="137">
        <f>epargne_mensuelle!X31</f>
        <v>0</v>
      </c>
      <c r="BH31" s="93">
        <f t="shared" si="37"/>
        <v>263022.22737630579</v>
      </c>
      <c r="BI31" s="93">
        <f t="shared" si="38"/>
        <v>0</v>
      </c>
      <c r="BJ31" s="137">
        <f>epargne_mensuelle!Y31</f>
        <v>0</v>
      </c>
      <c r="BK31" s="93">
        <f t="shared" si="39"/>
        <v>263022.22737630579</v>
      </c>
      <c r="BL31" s="93">
        <f t="shared" si="40"/>
        <v>0</v>
      </c>
      <c r="BM31" s="137">
        <f>epargne_mensuelle!Z31</f>
        <v>0</v>
      </c>
      <c r="BN31" s="93">
        <f t="shared" si="41"/>
        <v>263022.22737630579</v>
      </c>
      <c r="BO31" s="93">
        <f t="shared" si="42"/>
        <v>0</v>
      </c>
      <c r="BP31" s="137">
        <f>epargne_mensuelle!AA31</f>
        <v>0</v>
      </c>
      <c r="BQ31" s="93">
        <f t="shared" si="43"/>
        <v>263022.22737630579</v>
      </c>
      <c r="BR31" s="93">
        <f t="shared" si="44"/>
        <v>0</v>
      </c>
      <c r="BS31" s="137">
        <f>epargne_mensuelle!AB31</f>
        <v>0</v>
      </c>
      <c r="BT31" s="93">
        <f t="shared" si="45"/>
        <v>263022.22737630579</v>
      </c>
      <c r="BU31" s="93">
        <f t="shared" si="46"/>
        <v>0</v>
      </c>
      <c r="BV31" s="94">
        <f>cumul_epargne!C31</f>
        <v>1028984.0862869273</v>
      </c>
      <c r="BW31" s="95">
        <f t="shared" si="55"/>
        <v>171421.88339130671</v>
      </c>
      <c r="BX31" s="134">
        <f t="shared" si="56"/>
        <v>1200405.9696782341</v>
      </c>
      <c r="BY31" s="147"/>
      <c r="BZ31" s="135">
        <f t="shared" si="57"/>
        <v>1200405.9696782341</v>
      </c>
      <c r="CA31" s="96">
        <f t="shared" si="58"/>
        <v>0.16659332799779231</v>
      </c>
      <c r="CB31" s="113">
        <f t="shared" si="47"/>
        <v>2.6460007997641678E-2</v>
      </c>
      <c r="CC31" s="119">
        <f t="shared" si="48"/>
        <v>114540.16147101524</v>
      </c>
      <c r="CD31" s="8" t="str">
        <f t="shared" si="59"/>
        <v>ACTIONNIRE30</v>
      </c>
    </row>
    <row r="32" spans="1:82" ht="18.5" thickBot="1" x14ac:dyDescent="0.45">
      <c r="A32" s="81">
        <f>epargne_mensuelle!A32</f>
        <v>31</v>
      </c>
      <c r="B32" s="81" t="str">
        <f>epargne_mensuelle!B32</f>
        <v>ACTIONNIRE31</v>
      </c>
      <c r="C32" s="146">
        <f>SUM(epargne_mensuelle!C32:E32)</f>
        <v>1236027.4094442949</v>
      </c>
      <c r="D32" s="93">
        <f t="shared" si="0"/>
        <v>156234.04682662149</v>
      </c>
      <c r="E32" s="146">
        <f>epargne_mensuelle!F32</f>
        <v>0</v>
      </c>
      <c r="F32" s="93">
        <f t="shared" si="1"/>
        <v>185047.45619470626</v>
      </c>
      <c r="G32" s="93">
        <f t="shared" si="2"/>
        <v>0</v>
      </c>
      <c r="H32" s="146">
        <f>epargne_mensuelle!G32</f>
        <v>0</v>
      </c>
      <c r="I32" s="93">
        <f t="shared" si="3"/>
        <v>210830.84292724376</v>
      </c>
      <c r="J32" s="93">
        <f t="shared" si="4"/>
        <v>20031.659193779604</v>
      </c>
      <c r="K32" s="146">
        <f>epargne_mensuelle!H32</f>
        <v>0</v>
      </c>
      <c r="L32" s="93">
        <f t="shared" si="5"/>
        <v>179416.08503655353</v>
      </c>
      <c r="M32" s="93">
        <f t="shared" si="6"/>
        <v>6942.8437739258943</v>
      </c>
      <c r="N32" s="146">
        <f>epargne_mensuelle!I32</f>
        <v>0</v>
      </c>
      <c r="O32" s="93">
        <f t="shared" si="7"/>
        <v>157213.38096124545</v>
      </c>
      <c r="P32" s="93">
        <f t="shared" si="8"/>
        <v>2485.6644777454471</v>
      </c>
      <c r="Q32" s="137">
        <f>epargne_mensuelle!J32</f>
        <v>0</v>
      </c>
      <c r="R32" s="93">
        <f t="shared" si="9"/>
        <v>243318.96310805003</v>
      </c>
      <c r="S32" s="93">
        <f t="shared" si="10"/>
        <v>20219.705363742491</v>
      </c>
      <c r="T32" s="137">
        <f>epargne_mensuelle!K32</f>
        <v>0</v>
      </c>
      <c r="U32" s="93">
        <f t="shared" si="11"/>
        <v>315945.2965918369</v>
      </c>
      <c r="V32" s="93">
        <f t="shared" si="12"/>
        <v>0</v>
      </c>
      <c r="W32" s="137">
        <f>epargne_mensuelle!L32</f>
        <v>0</v>
      </c>
      <c r="X32" s="93">
        <f t="shared" si="13"/>
        <v>315945.2965918369</v>
      </c>
      <c r="Y32" s="93">
        <f t="shared" si="14"/>
        <v>0</v>
      </c>
      <c r="Z32" s="137">
        <f>epargne_mensuelle!M32</f>
        <v>0</v>
      </c>
      <c r="AA32" s="93">
        <f t="shared" si="15"/>
        <v>315945.2965918369</v>
      </c>
      <c r="AB32" s="93">
        <f t="shared" si="16"/>
        <v>0</v>
      </c>
      <c r="AC32" s="137">
        <f>epargne_mensuelle!N32</f>
        <v>0</v>
      </c>
      <c r="AD32" s="93">
        <f t="shared" si="17"/>
        <v>315945.2965918369</v>
      </c>
      <c r="AE32" s="93">
        <f t="shared" si="18"/>
        <v>0</v>
      </c>
      <c r="AF32" s="137">
        <f>epargne_mensuelle!O32</f>
        <v>0</v>
      </c>
      <c r="AG32" s="93">
        <f t="shared" si="19"/>
        <v>315945.2965918369</v>
      </c>
      <c r="AH32" s="93">
        <f t="shared" si="20"/>
        <v>0</v>
      </c>
      <c r="AI32" s="137">
        <f>epargne_mensuelle!P32</f>
        <v>0</v>
      </c>
      <c r="AJ32" s="93">
        <f t="shared" si="21"/>
        <v>315945.2965918369</v>
      </c>
      <c r="AK32" s="93">
        <f t="shared" si="22"/>
        <v>0</v>
      </c>
      <c r="AL32" s="137">
        <f>epargne_mensuelle!Q32</f>
        <v>0</v>
      </c>
      <c r="AM32" s="93">
        <f t="shared" si="23"/>
        <v>315945.2965918369</v>
      </c>
      <c r="AN32" s="93">
        <f t="shared" si="24"/>
        <v>0</v>
      </c>
      <c r="AO32" s="137">
        <f>epargne_mensuelle!R32</f>
        <v>0</v>
      </c>
      <c r="AP32" s="93">
        <f t="shared" si="25"/>
        <v>315945.2965918369</v>
      </c>
      <c r="AQ32" s="93">
        <f t="shared" si="26"/>
        <v>0</v>
      </c>
      <c r="AR32" s="137">
        <f>epargne_mensuelle!S32</f>
        <v>0</v>
      </c>
      <c r="AS32" s="93">
        <f t="shared" si="27"/>
        <v>315945.2965918369</v>
      </c>
      <c r="AT32" s="93">
        <f t="shared" si="28"/>
        <v>0</v>
      </c>
      <c r="AU32" s="137">
        <f>epargne_mensuelle!T32</f>
        <v>0</v>
      </c>
      <c r="AV32" s="93">
        <f t="shared" si="29"/>
        <v>315945.2965918369</v>
      </c>
      <c r="AW32" s="93">
        <f t="shared" si="30"/>
        <v>0</v>
      </c>
      <c r="AX32" s="137">
        <f>epargne_mensuelle!U32</f>
        <v>0</v>
      </c>
      <c r="AY32" s="93">
        <f t="shared" si="31"/>
        <v>315945.2965918369</v>
      </c>
      <c r="AZ32" s="93">
        <f t="shared" si="32"/>
        <v>0</v>
      </c>
      <c r="BA32" s="137">
        <f>epargne_mensuelle!V32</f>
        <v>0</v>
      </c>
      <c r="BB32" s="93">
        <f t="shared" si="33"/>
        <v>315945.2965918369</v>
      </c>
      <c r="BC32" s="93">
        <f t="shared" si="34"/>
        <v>0</v>
      </c>
      <c r="BD32" s="137">
        <f>epargne_mensuelle!W32</f>
        <v>0</v>
      </c>
      <c r="BE32" s="93">
        <f t="shared" si="35"/>
        <v>315945.2965918369</v>
      </c>
      <c r="BF32" s="93">
        <f t="shared" si="36"/>
        <v>0</v>
      </c>
      <c r="BG32" s="137">
        <f>epargne_mensuelle!X32</f>
        <v>0</v>
      </c>
      <c r="BH32" s="93">
        <f t="shared" si="37"/>
        <v>315945.2965918369</v>
      </c>
      <c r="BI32" s="93">
        <f t="shared" si="38"/>
        <v>0</v>
      </c>
      <c r="BJ32" s="137">
        <f>epargne_mensuelle!Y32</f>
        <v>0</v>
      </c>
      <c r="BK32" s="93">
        <f t="shared" si="39"/>
        <v>315945.2965918369</v>
      </c>
      <c r="BL32" s="93">
        <f t="shared" si="40"/>
        <v>0</v>
      </c>
      <c r="BM32" s="137">
        <f>epargne_mensuelle!Z32</f>
        <v>0</v>
      </c>
      <c r="BN32" s="93">
        <f t="shared" si="41"/>
        <v>315945.2965918369</v>
      </c>
      <c r="BO32" s="93">
        <f t="shared" si="42"/>
        <v>0</v>
      </c>
      <c r="BP32" s="137">
        <f>epargne_mensuelle!AA32</f>
        <v>0</v>
      </c>
      <c r="BQ32" s="93">
        <f t="shared" si="43"/>
        <v>315945.2965918369</v>
      </c>
      <c r="BR32" s="93">
        <f t="shared" si="44"/>
        <v>0</v>
      </c>
      <c r="BS32" s="137">
        <f>epargne_mensuelle!AB32</f>
        <v>0</v>
      </c>
      <c r="BT32" s="93">
        <f t="shared" si="45"/>
        <v>315945.2965918369</v>
      </c>
      <c r="BU32" s="93">
        <f t="shared" si="46"/>
        <v>0</v>
      </c>
      <c r="BV32" s="94">
        <f>cumul_epargne!C32</f>
        <v>1236027.4094442949</v>
      </c>
      <c r="BW32" s="95">
        <f t="shared" ref="BW32:BW36" si="60">D32+G32+J32+M32+P32+S32+V32+Y32+AB32+AE32+AH32+AK32+AN32+AQ32+AT32+AW32+AZ32+BC32+BF32+BI32+BL32+BO32+BR32+BU32</f>
        <v>205913.91963581491</v>
      </c>
      <c r="BX32" s="134">
        <f t="shared" ref="BX32:BX36" si="61">IF(BV32="",BW32,BV32+BW32)</f>
        <v>1441941.3290801097</v>
      </c>
      <c r="BY32" s="147"/>
      <c r="BZ32" s="135">
        <f t="shared" ref="BZ32:BZ36" si="62">BX32+BY32</f>
        <v>1441941.3290801097</v>
      </c>
      <c r="CA32" s="96">
        <f t="shared" ref="CA32:CA36" si="63">IF(BV32="","",BW32/BV32)</f>
        <v>0.16659332799779228</v>
      </c>
      <c r="CB32" s="113">
        <f t="shared" si="47"/>
        <v>3.1784063111429547E-2</v>
      </c>
      <c r="CC32" s="119">
        <f t="shared" si="48"/>
        <v>137586.94711326444</v>
      </c>
      <c r="CD32" s="8" t="str">
        <f t="shared" ref="CD32:CD36" si="64">B32</f>
        <v>ACTIONNIRE31</v>
      </c>
    </row>
    <row r="33" spans="1:82" ht="18.5" thickBot="1" x14ac:dyDescent="0.45">
      <c r="A33" s="81">
        <f>epargne_mensuelle!A33</f>
        <v>32</v>
      </c>
      <c r="B33" s="81" t="str">
        <f>epargne_mensuelle!B33</f>
        <v>ACTIONNIRE32</v>
      </c>
      <c r="C33" s="146">
        <f>SUM(epargne_mensuelle!C33:E33)</f>
        <v>260099.70422273286</v>
      </c>
      <c r="D33" s="93">
        <f t="shared" si="0"/>
        <v>32876.640969794164</v>
      </c>
      <c r="E33" s="146">
        <f>epargne_mensuelle!F33</f>
        <v>0</v>
      </c>
      <c r="F33" s="93">
        <f t="shared" si="1"/>
        <v>38939.903966248865</v>
      </c>
      <c r="G33" s="93">
        <f t="shared" si="2"/>
        <v>0</v>
      </c>
      <c r="H33" s="146">
        <f>epargne_mensuelle!G33</f>
        <v>0</v>
      </c>
      <c r="I33" s="93">
        <f t="shared" si="3"/>
        <v>44365.553277705796</v>
      </c>
      <c r="J33" s="93">
        <f t="shared" si="4"/>
        <v>4215.3018546207859</v>
      </c>
      <c r="K33" s="146">
        <f>epargne_mensuelle!H33</f>
        <v>0</v>
      </c>
      <c r="L33" s="93">
        <f t="shared" si="5"/>
        <v>37754.883341777051</v>
      </c>
      <c r="M33" s="93">
        <f t="shared" si="6"/>
        <v>1460.9964134004522</v>
      </c>
      <c r="N33" s="146">
        <f>epargne_mensuelle!I33</f>
        <v>0</v>
      </c>
      <c r="O33" s="93">
        <f t="shared" si="7"/>
        <v>33082.724198049938</v>
      </c>
      <c r="P33" s="93">
        <f t="shared" si="8"/>
        <v>523.06331600624719</v>
      </c>
      <c r="Q33" s="137">
        <f>epargne_mensuelle!J33</f>
        <v>0</v>
      </c>
      <c r="R33" s="93">
        <f t="shared" si="9"/>
        <v>51202.092973519997</v>
      </c>
      <c r="S33" s="93">
        <f t="shared" si="10"/>
        <v>4254.8727838848508</v>
      </c>
      <c r="T33" s="137">
        <f>epargne_mensuelle!K33</f>
        <v>0</v>
      </c>
      <c r="U33" s="93">
        <f t="shared" si="11"/>
        <v>66484.996664472375</v>
      </c>
      <c r="V33" s="93">
        <f t="shared" si="12"/>
        <v>0</v>
      </c>
      <c r="W33" s="137">
        <f>epargne_mensuelle!L33</f>
        <v>0</v>
      </c>
      <c r="X33" s="93">
        <f t="shared" si="13"/>
        <v>66484.996664472375</v>
      </c>
      <c r="Y33" s="93">
        <f t="shared" si="14"/>
        <v>0</v>
      </c>
      <c r="Z33" s="137">
        <f>epargne_mensuelle!M33</f>
        <v>0</v>
      </c>
      <c r="AA33" s="93">
        <f t="shared" si="15"/>
        <v>66484.996664472375</v>
      </c>
      <c r="AB33" s="93">
        <f t="shared" si="16"/>
        <v>0</v>
      </c>
      <c r="AC33" s="137">
        <f>epargne_mensuelle!N33</f>
        <v>0</v>
      </c>
      <c r="AD33" s="93">
        <f t="shared" si="17"/>
        <v>66484.996664472375</v>
      </c>
      <c r="AE33" s="93">
        <f t="shared" si="18"/>
        <v>0</v>
      </c>
      <c r="AF33" s="137">
        <f>epargne_mensuelle!O33</f>
        <v>0</v>
      </c>
      <c r="AG33" s="93">
        <f t="shared" si="19"/>
        <v>66484.996664472375</v>
      </c>
      <c r="AH33" s="93">
        <f t="shared" si="20"/>
        <v>0</v>
      </c>
      <c r="AI33" s="137">
        <f>epargne_mensuelle!P33</f>
        <v>0</v>
      </c>
      <c r="AJ33" s="93">
        <f t="shared" si="21"/>
        <v>66484.996664472375</v>
      </c>
      <c r="AK33" s="93">
        <f t="shared" si="22"/>
        <v>0</v>
      </c>
      <c r="AL33" s="137">
        <f>epargne_mensuelle!Q33</f>
        <v>0</v>
      </c>
      <c r="AM33" s="93">
        <f t="shared" si="23"/>
        <v>66484.996664472375</v>
      </c>
      <c r="AN33" s="93">
        <f t="shared" si="24"/>
        <v>0</v>
      </c>
      <c r="AO33" s="137">
        <f>epargne_mensuelle!R33</f>
        <v>0</v>
      </c>
      <c r="AP33" s="93">
        <f t="shared" si="25"/>
        <v>66484.996664472375</v>
      </c>
      <c r="AQ33" s="93">
        <f t="shared" si="26"/>
        <v>0</v>
      </c>
      <c r="AR33" s="137">
        <f>epargne_mensuelle!S33</f>
        <v>0</v>
      </c>
      <c r="AS33" s="93">
        <f t="shared" si="27"/>
        <v>66484.996664472375</v>
      </c>
      <c r="AT33" s="93">
        <f t="shared" si="28"/>
        <v>0</v>
      </c>
      <c r="AU33" s="137">
        <f>epargne_mensuelle!T33</f>
        <v>0</v>
      </c>
      <c r="AV33" s="93">
        <f t="shared" si="29"/>
        <v>66484.996664472375</v>
      </c>
      <c r="AW33" s="93">
        <f t="shared" si="30"/>
        <v>0</v>
      </c>
      <c r="AX33" s="137">
        <f>epargne_mensuelle!U33</f>
        <v>0</v>
      </c>
      <c r="AY33" s="93">
        <f t="shared" si="31"/>
        <v>66484.996664472375</v>
      </c>
      <c r="AZ33" s="93">
        <f t="shared" si="32"/>
        <v>0</v>
      </c>
      <c r="BA33" s="137">
        <f>epargne_mensuelle!V33</f>
        <v>0</v>
      </c>
      <c r="BB33" s="93">
        <f t="shared" si="33"/>
        <v>66484.996664472375</v>
      </c>
      <c r="BC33" s="93">
        <f t="shared" si="34"/>
        <v>0</v>
      </c>
      <c r="BD33" s="137">
        <f>epargne_mensuelle!W33</f>
        <v>0</v>
      </c>
      <c r="BE33" s="93">
        <f t="shared" si="35"/>
        <v>66484.996664472375</v>
      </c>
      <c r="BF33" s="93">
        <f t="shared" si="36"/>
        <v>0</v>
      </c>
      <c r="BG33" s="137">
        <f>epargne_mensuelle!X33</f>
        <v>0</v>
      </c>
      <c r="BH33" s="93">
        <f t="shared" si="37"/>
        <v>66484.996664472375</v>
      </c>
      <c r="BI33" s="93">
        <f t="shared" si="38"/>
        <v>0</v>
      </c>
      <c r="BJ33" s="137">
        <f>epargne_mensuelle!Y33</f>
        <v>0</v>
      </c>
      <c r="BK33" s="93">
        <f t="shared" si="39"/>
        <v>66484.996664472375</v>
      </c>
      <c r="BL33" s="93">
        <f t="shared" si="40"/>
        <v>0</v>
      </c>
      <c r="BM33" s="137">
        <f>epargne_mensuelle!Z33</f>
        <v>0</v>
      </c>
      <c r="BN33" s="93">
        <f t="shared" si="41"/>
        <v>66484.996664472375</v>
      </c>
      <c r="BO33" s="93">
        <f t="shared" si="42"/>
        <v>0</v>
      </c>
      <c r="BP33" s="137">
        <f>epargne_mensuelle!AA33</f>
        <v>0</v>
      </c>
      <c r="BQ33" s="93">
        <f t="shared" si="43"/>
        <v>66484.996664472375</v>
      </c>
      <c r="BR33" s="93">
        <f t="shared" si="44"/>
        <v>0</v>
      </c>
      <c r="BS33" s="137">
        <f>epargne_mensuelle!AB33</f>
        <v>0</v>
      </c>
      <c r="BT33" s="93">
        <f t="shared" si="45"/>
        <v>66484.996664472375</v>
      </c>
      <c r="BU33" s="93">
        <f t="shared" si="46"/>
        <v>0</v>
      </c>
      <c r="BV33" s="94">
        <f>cumul_epargne!C33</f>
        <v>260099.70422273286</v>
      </c>
      <c r="BW33" s="95">
        <f t="shared" si="60"/>
        <v>43330.8753377065</v>
      </c>
      <c r="BX33" s="134">
        <f t="shared" si="61"/>
        <v>303430.57956043934</v>
      </c>
      <c r="BY33" s="147"/>
      <c r="BZ33" s="135">
        <f t="shared" si="62"/>
        <v>303430.57956043934</v>
      </c>
      <c r="CA33" s="96">
        <f t="shared" si="63"/>
        <v>0.16659332799779231</v>
      </c>
      <c r="CB33" s="113">
        <f t="shared" si="47"/>
        <v>6.6883835674778997E-3</v>
      </c>
      <c r="CC33" s="119">
        <f t="shared" si="48"/>
        <v>28952.694718281393</v>
      </c>
      <c r="CD33" s="8" t="str">
        <f t="shared" si="64"/>
        <v>ACTIONNIRE32</v>
      </c>
    </row>
    <row r="34" spans="1:82" ht="18.5" thickBot="1" x14ac:dyDescent="0.45">
      <c r="A34" s="81">
        <f>epargne_mensuelle!A34</f>
        <v>33</v>
      </c>
      <c r="B34" s="81" t="str">
        <f>epargne_mensuelle!B34</f>
        <v>ACTIONNIRE33</v>
      </c>
      <c r="C34" s="146">
        <f>SUM(epargne_mensuelle!C34:E34)</f>
        <v>87809.359816982498</v>
      </c>
      <c r="D34" s="93">
        <f t="shared" si="0"/>
        <v>11099.116029821649</v>
      </c>
      <c r="E34" s="146">
        <f>epargne_mensuelle!F34</f>
        <v>0</v>
      </c>
      <c r="F34" s="93">
        <f t="shared" si="1"/>
        <v>13146.066616373508</v>
      </c>
      <c r="G34" s="93">
        <f t="shared" si="2"/>
        <v>0</v>
      </c>
      <c r="H34" s="146">
        <f>epargne_mensuelle!G34</f>
        <v>0</v>
      </c>
      <c r="I34" s="93">
        <f t="shared" si="3"/>
        <v>14977.75955910176</v>
      </c>
      <c r="J34" s="93">
        <f t="shared" si="4"/>
        <v>1423.0810388489463</v>
      </c>
      <c r="K34" s="146">
        <f>epargne_mensuelle!H34</f>
        <v>0</v>
      </c>
      <c r="L34" s="93">
        <f t="shared" si="5"/>
        <v>12746.005021856337</v>
      </c>
      <c r="M34" s="93">
        <f t="shared" si="6"/>
        <v>493.23070219927121</v>
      </c>
      <c r="N34" s="146">
        <f>epargne_mensuelle!I34</f>
        <v>0</v>
      </c>
      <c r="O34" s="93">
        <f t="shared" si="7"/>
        <v>11168.689489723249</v>
      </c>
      <c r="P34" s="93">
        <f t="shared" si="8"/>
        <v>176.58557151962461</v>
      </c>
      <c r="Q34" s="137">
        <f>epargne_mensuelle!J34</f>
        <v>0</v>
      </c>
      <c r="R34" s="93">
        <f t="shared" si="9"/>
        <v>17285.767466480091</v>
      </c>
      <c r="S34" s="93">
        <f t="shared" si="10"/>
        <v>1436.440138877238</v>
      </c>
      <c r="T34" s="137">
        <f>epargne_mensuelle!K34</f>
        <v>0</v>
      </c>
      <c r="U34" s="93">
        <f t="shared" si="11"/>
        <v>22445.258105877125</v>
      </c>
      <c r="V34" s="93">
        <f t="shared" si="12"/>
        <v>0</v>
      </c>
      <c r="W34" s="137">
        <f>epargne_mensuelle!L34</f>
        <v>0</v>
      </c>
      <c r="X34" s="93">
        <f t="shared" si="13"/>
        <v>22445.258105877125</v>
      </c>
      <c r="Y34" s="93">
        <f t="shared" si="14"/>
        <v>0</v>
      </c>
      <c r="Z34" s="137">
        <f>epargne_mensuelle!M34</f>
        <v>0</v>
      </c>
      <c r="AA34" s="93">
        <f t="shared" si="15"/>
        <v>22445.258105877125</v>
      </c>
      <c r="AB34" s="93">
        <f t="shared" si="16"/>
        <v>0</v>
      </c>
      <c r="AC34" s="137">
        <f>epargne_mensuelle!N34</f>
        <v>0</v>
      </c>
      <c r="AD34" s="93">
        <f t="shared" si="17"/>
        <v>22445.258105877125</v>
      </c>
      <c r="AE34" s="93">
        <f t="shared" si="18"/>
        <v>0</v>
      </c>
      <c r="AF34" s="137">
        <f>epargne_mensuelle!O34</f>
        <v>0</v>
      </c>
      <c r="AG34" s="93">
        <f t="shared" si="19"/>
        <v>22445.258105877125</v>
      </c>
      <c r="AH34" s="93">
        <f t="shared" si="20"/>
        <v>0</v>
      </c>
      <c r="AI34" s="137">
        <f>epargne_mensuelle!P34</f>
        <v>0</v>
      </c>
      <c r="AJ34" s="93">
        <f t="shared" si="21"/>
        <v>22445.258105877125</v>
      </c>
      <c r="AK34" s="93">
        <f t="shared" si="22"/>
        <v>0</v>
      </c>
      <c r="AL34" s="137">
        <f>epargne_mensuelle!Q34</f>
        <v>0</v>
      </c>
      <c r="AM34" s="93">
        <f t="shared" si="23"/>
        <v>22445.258105877125</v>
      </c>
      <c r="AN34" s="93">
        <f t="shared" si="24"/>
        <v>0</v>
      </c>
      <c r="AO34" s="137">
        <f>epargne_mensuelle!R34</f>
        <v>0</v>
      </c>
      <c r="AP34" s="93">
        <f t="shared" si="25"/>
        <v>22445.258105877125</v>
      </c>
      <c r="AQ34" s="93">
        <f t="shared" si="26"/>
        <v>0</v>
      </c>
      <c r="AR34" s="137">
        <f>epargne_mensuelle!S34</f>
        <v>0</v>
      </c>
      <c r="AS34" s="93">
        <f t="shared" si="27"/>
        <v>22445.258105877125</v>
      </c>
      <c r="AT34" s="93">
        <f t="shared" si="28"/>
        <v>0</v>
      </c>
      <c r="AU34" s="137">
        <f>epargne_mensuelle!T34</f>
        <v>0</v>
      </c>
      <c r="AV34" s="93">
        <f t="shared" si="29"/>
        <v>22445.258105877125</v>
      </c>
      <c r="AW34" s="93">
        <f t="shared" si="30"/>
        <v>0</v>
      </c>
      <c r="AX34" s="137">
        <f>epargne_mensuelle!U34</f>
        <v>0</v>
      </c>
      <c r="AY34" s="93">
        <f t="shared" si="31"/>
        <v>22445.258105877125</v>
      </c>
      <c r="AZ34" s="93">
        <f t="shared" si="32"/>
        <v>0</v>
      </c>
      <c r="BA34" s="137">
        <f>epargne_mensuelle!V34</f>
        <v>0</v>
      </c>
      <c r="BB34" s="93">
        <f t="shared" si="33"/>
        <v>22445.258105877125</v>
      </c>
      <c r="BC34" s="93">
        <f t="shared" si="34"/>
        <v>0</v>
      </c>
      <c r="BD34" s="137">
        <f>epargne_mensuelle!W34</f>
        <v>0</v>
      </c>
      <c r="BE34" s="93">
        <f t="shared" si="35"/>
        <v>22445.258105877125</v>
      </c>
      <c r="BF34" s="93">
        <f t="shared" si="36"/>
        <v>0</v>
      </c>
      <c r="BG34" s="137">
        <f>epargne_mensuelle!X34</f>
        <v>0</v>
      </c>
      <c r="BH34" s="93">
        <f t="shared" si="37"/>
        <v>22445.258105877125</v>
      </c>
      <c r="BI34" s="93">
        <f t="shared" si="38"/>
        <v>0</v>
      </c>
      <c r="BJ34" s="137">
        <f>epargne_mensuelle!Y34</f>
        <v>0</v>
      </c>
      <c r="BK34" s="93">
        <f t="shared" si="39"/>
        <v>22445.258105877125</v>
      </c>
      <c r="BL34" s="93">
        <f t="shared" si="40"/>
        <v>0</v>
      </c>
      <c r="BM34" s="137">
        <f>epargne_mensuelle!Z34</f>
        <v>0</v>
      </c>
      <c r="BN34" s="93">
        <f t="shared" si="41"/>
        <v>22445.258105877125</v>
      </c>
      <c r="BO34" s="93">
        <f t="shared" si="42"/>
        <v>0</v>
      </c>
      <c r="BP34" s="137">
        <f>epargne_mensuelle!AA34</f>
        <v>0</v>
      </c>
      <c r="BQ34" s="93">
        <f t="shared" si="43"/>
        <v>22445.258105877125</v>
      </c>
      <c r="BR34" s="93">
        <f t="shared" si="44"/>
        <v>0</v>
      </c>
      <c r="BS34" s="137">
        <f>epargne_mensuelle!AB34</f>
        <v>0</v>
      </c>
      <c r="BT34" s="93">
        <f t="shared" si="45"/>
        <v>22445.258105877125</v>
      </c>
      <c r="BU34" s="93">
        <f t="shared" si="46"/>
        <v>0</v>
      </c>
      <c r="BV34" s="94">
        <f>cumul_epargne!C34</f>
        <v>87809.359816982498</v>
      </c>
      <c r="BW34" s="95">
        <f t="shared" si="60"/>
        <v>14628.45348126673</v>
      </c>
      <c r="BX34" s="134">
        <f t="shared" si="61"/>
        <v>102437.81329824922</v>
      </c>
      <c r="BY34" s="147"/>
      <c r="BZ34" s="135">
        <f t="shared" si="62"/>
        <v>102437.81329824922</v>
      </c>
      <c r="CA34" s="96">
        <f t="shared" si="63"/>
        <v>0.16659332799779231</v>
      </c>
      <c r="CB34" s="113">
        <f t="shared" si="47"/>
        <v>2.2579905695230291E-3</v>
      </c>
      <c r="CC34" s="119">
        <f t="shared" si="48"/>
        <v>9774.3963061631948</v>
      </c>
      <c r="CD34" s="8" t="str">
        <f t="shared" si="64"/>
        <v>ACTIONNIRE33</v>
      </c>
    </row>
    <row r="35" spans="1:82" ht="18.5" thickBot="1" x14ac:dyDescent="0.45">
      <c r="A35" s="81">
        <f>epargne_mensuelle!A35</f>
        <v>34</v>
      </c>
      <c r="B35" s="81" t="str">
        <f>epargne_mensuelle!B35</f>
        <v>ACTIONNIRE34</v>
      </c>
      <c r="C35" s="146">
        <f>SUM(epargne_mensuelle!C35:E35)</f>
        <v>2514536.0314793047</v>
      </c>
      <c r="D35" s="93">
        <f t="shared" si="0"/>
        <v>317837.7251892729</v>
      </c>
      <c r="E35" s="146">
        <f>epargne_mensuelle!F35</f>
        <v>0</v>
      </c>
      <c r="F35" s="93">
        <f t="shared" si="1"/>
        <v>376454.83634086617</v>
      </c>
      <c r="G35" s="93">
        <f t="shared" si="2"/>
        <v>0</v>
      </c>
      <c r="H35" s="146">
        <f>epargne_mensuelle!G35</f>
        <v>500000</v>
      </c>
      <c r="I35" s="93">
        <f t="shared" si="3"/>
        <v>928907.76291607809</v>
      </c>
      <c r="J35" s="93">
        <f t="shared" si="4"/>
        <v>88258.261793377344</v>
      </c>
      <c r="K35" s="146">
        <f>epargne_mensuelle!H35</f>
        <v>700000</v>
      </c>
      <c r="L35" s="93">
        <f t="shared" si="5"/>
        <v>1279351.1483028892</v>
      </c>
      <c r="M35" s="93">
        <f t="shared" si="6"/>
        <v>49506.905430747778</v>
      </c>
      <c r="N35" s="146">
        <f>epargne_mensuelle!I35</f>
        <v>300000</v>
      </c>
      <c r="O35" s="93">
        <f t="shared" si="7"/>
        <v>1073061.1114997615</v>
      </c>
      <c r="P35" s="93">
        <f t="shared" si="8"/>
        <v>16965.921545587204</v>
      </c>
      <c r="Q35" s="137">
        <f>epargne_mensuelle!J35</f>
        <v>0</v>
      </c>
      <c r="R35" s="93">
        <f t="shared" si="9"/>
        <v>1139302.8911271719</v>
      </c>
      <c r="S35" s="93">
        <f t="shared" si="10"/>
        <v>94675.599815135269</v>
      </c>
      <c r="T35" s="137">
        <f>epargne_mensuelle!K35</f>
        <v>0</v>
      </c>
      <c r="U35" s="93">
        <f t="shared" si="11"/>
        <v>1283344.6110149673</v>
      </c>
      <c r="V35" s="93">
        <f t="shared" si="12"/>
        <v>0</v>
      </c>
      <c r="W35" s="137">
        <f>epargne_mensuelle!L35</f>
        <v>0</v>
      </c>
      <c r="X35" s="93">
        <f t="shared" si="13"/>
        <v>1283344.6110149673</v>
      </c>
      <c r="Y35" s="93">
        <f t="shared" si="14"/>
        <v>0</v>
      </c>
      <c r="Z35" s="137">
        <f>epargne_mensuelle!M35</f>
        <v>0</v>
      </c>
      <c r="AA35" s="93">
        <f t="shared" si="15"/>
        <v>1283344.6110149673</v>
      </c>
      <c r="AB35" s="93">
        <f t="shared" si="16"/>
        <v>0</v>
      </c>
      <c r="AC35" s="137">
        <f>epargne_mensuelle!N35</f>
        <v>0</v>
      </c>
      <c r="AD35" s="93">
        <f t="shared" si="17"/>
        <v>1283344.6110149673</v>
      </c>
      <c r="AE35" s="93">
        <f t="shared" si="18"/>
        <v>0</v>
      </c>
      <c r="AF35" s="137">
        <f>epargne_mensuelle!O35</f>
        <v>0</v>
      </c>
      <c r="AG35" s="93">
        <f t="shared" si="19"/>
        <v>1283344.6110149673</v>
      </c>
      <c r="AH35" s="93">
        <f t="shared" si="20"/>
        <v>0</v>
      </c>
      <c r="AI35" s="137">
        <f>epargne_mensuelle!P35</f>
        <v>0</v>
      </c>
      <c r="AJ35" s="93">
        <f t="shared" si="21"/>
        <v>1283344.6110149673</v>
      </c>
      <c r="AK35" s="93">
        <f t="shared" si="22"/>
        <v>0</v>
      </c>
      <c r="AL35" s="137">
        <f>epargne_mensuelle!Q35</f>
        <v>0</v>
      </c>
      <c r="AM35" s="93">
        <f t="shared" si="23"/>
        <v>1283344.6110149673</v>
      </c>
      <c r="AN35" s="93">
        <f t="shared" si="24"/>
        <v>0</v>
      </c>
      <c r="AO35" s="137">
        <f>epargne_mensuelle!R35</f>
        <v>0</v>
      </c>
      <c r="AP35" s="93">
        <f t="shared" si="25"/>
        <v>1283344.6110149673</v>
      </c>
      <c r="AQ35" s="93">
        <f t="shared" si="26"/>
        <v>0</v>
      </c>
      <c r="AR35" s="137">
        <f>epargne_mensuelle!S35</f>
        <v>0</v>
      </c>
      <c r="AS35" s="93">
        <f t="shared" si="27"/>
        <v>1283344.6110149673</v>
      </c>
      <c r="AT35" s="93">
        <f t="shared" si="28"/>
        <v>0</v>
      </c>
      <c r="AU35" s="137">
        <f>epargne_mensuelle!T35</f>
        <v>0</v>
      </c>
      <c r="AV35" s="93">
        <f t="shared" si="29"/>
        <v>1283344.6110149673</v>
      </c>
      <c r="AW35" s="93">
        <f t="shared" si="30"/>
        <v>0</v>
      </c>
      <c r="AX35" s="137">
        <f>epargne_mensuelle!U35</f>
        <v>0</v>
      </c>
      <c r="AY35" s="93">
        <f t="shared" si="31"/>
        <v>1283344.6110149673</v>
      </c>
      <c r="AZ35" s="93">
        <f t="shared" si="32"/>
        <v>0</v>
      </c>
      <c r="BA35" s="137">
        <f>epargne_mensuelle!V35</f>
        <v>0</v>
      </c>
      <c r="BB35" s="93">
        <f t="shared" si="33"/>
        <v>1283344.6110149673</v>
      </c>
      <c r="BC35" s="93">
        <f t="shared" si="34"/>
        <v>0</v>
      </c>
      <c r="BD35" s="137">
        <f>epargne_mensuelle!W35</f>
        <v>0</v>
      </c>
      <c r="BE35" s="93">
        <f t="shared" si="35"/>
        <v>1283344.6110149673</v>
      </c>
      <c r="BF35" s="93">
        <f t="shared" si="36"/>
        <v>0</v>
      </c>
      <c r="BG35" s="137">
        <f>epargne_mensuelle!X35</f>
        <v>0</v>
      </c>
      <c r="BH35" s="93">
        <f t="shared" si="37"/>
        <v>1283344.6110149673</v>
      </c>
      <c r="BI35" s="93">
        <f t="shared" si="38"/>
        <v>0</v>
      </c>
      <c r="BJ35" s="137">
        <f>epargne_mensuelle!Y35</f>
        <v>0</v>
      </c>
      <c r="BK35" s="93">
        <f t="shared" si="39"/>
        <v>1283344.6110149673</v>
      </c>
      <c r="BL35" s="93">
        <f t="shared" si="40"/>
        <v>0</v>
      </c>
      <c r="BM35" s="137">
        <f>epargne_mensuelle!Z35</f>
        <v>0</v>
      </c>
      <c r="BN35" s="93">
        <f t="shared" si="41"/>
        <v>1283344.6110149673</v>
      </c>
      <c r="BO35" s="93">
        <f t="shared" si="42"/>
        <v>0</v>
      </c>
      <c r="BP35" s="137">
        <f>epargne_mensuelle!AA35</f>
        <v>0</v>
      </c>
      <c r="BQ35" s="93">
        <f t="shared" si="43"/>
        <v>1283344.6110149673</v>
      </c>
      <c r="BR35" s="93">
        <f t="shared" si="44"/>
        <v>0</v>
      </c>
      <c r="BS35" s="137">
        <f>epargne_mensuelle!AB35</f>
        <v>0</v>
      </c>
      <c r="BT35" s="93">
        <f t="shared" si="45"/>
        <v>1283344.6110149673</v>
      </c>
      <c r="BU35" s="93">
        <f t="shared" si="46"/>
        <v>0</v>
      </c>
      <c r="BV35" s="94">
        <f>cumul_epargne!C35</f>
        <v>4014536.0314793047</v>
      </c>
      <c r="BW35" s="95">
        <f t="shared" si="60"/>
        <v>567244.4137741205</v>
      </c>
      <c r="BX35" s="134">
        <f t="shared" si="61"/>
        <v>4581780.4452534253</v>
      </c>
      <c r="BY35" s="147"/>
      <c r="BZ35" s="135">
        <f t="shared" si="62"/>
        <v>4581780.4452534253</v>
      </c>
      <c r="CA35" s="96">
        <f t="shared" si="63"/>
        <v>0.14129762675591137</v>
      </c>
      <c r="CB35" s="113">
        <f t="shared" si="47"/>
        <v>0.10099412222794955</v>
      </c>
      <c r="CC35" s="119">
        <f t="shared" si="48"/>
        <v>437183.65726283268</v>
      </c>
      <c r="CD35" s="8" t="str">
        <f t="shared" si="64"/>
        <v>ACTIONNIRE34</v>
      </c>
    </row>
    <row r="36" spans="1:82" ht="18.5" thickBot="1" x14ac:dyDescent="0.45">
      <c r="A36" s="81">
        <f>epargne_mensuelle!A36</f>
        <v>35</v>
      </c>
      <c r="B36" s="81" t="str">
        <f>epargne_mensuelle!B36</f>
        <v>ACTIONNIRE35</v>
      </c>
      <c r="C36" s="146">
        <f>SUM(epargne_mensuelle!C36:E36)</f>
        <v>501360.80944379146</v>
      </c>
      <c r="D36" s="93">
        <f t="shared" si="0"/>
        <v>63372.080247710976</v>
      </c>
      <c r="E36" s="146">
        <f>epargne_mensuelle!F36</f>
        <v>0</v>
      </c>
      <c r="F36" s="93">
        <f t="shared" si="1"/>
        <v>75059.453952565193</v>
      </c>
      <c r="G36" s="93">
        <f t="shared" si="2"/>
        <v>0</v>
      </c>
      <c r="H36" s="146">
        <f>epargne_mensuelle!G36</f>
        <v>0</v>
      </c>
      <c r="I36" s="93">
        <f t="shared" si="3"/>
        <v>85517.78161071887</v>
      </c>
      <c r="J36" s="93">
        <f t="shared" si="4"/>
        <v>8125.2962443695142</v>
      </c>
      <c r="K36" s="146">
        <f>epargne_mensuelle!H36</f>
        <v>0</v>
      </c>
      <c r="L36" s="93">
        <f t="shared" si="5"/>
        <v>72775.241822189186</v>
      </c>
      <c r="M36" s="93">
        <f t="shared" si="6"/>
        <v>2816.1752302096902</v>
      </c>
      <c r="N36" s="146">
        <f>epargne_mensuelle!I36</f>
        <v>0</v>
      </c>
      <c r="O36" s="93">
        <f t="shared" si="7"/>
        <v>63769.320430816428</v>
      </c>
      <c r="P36" s="93">
        <f t="shared" si="8"/>
        <v>1008.2420058374123</v>
      </c>
      <c r="Q36" s="137">
        <f>epargne_mensuelle!J36</f>
        <v>0</v>
      </c>
      <c r="R36" s="93">
        <f t="shared" si="9"/>
        <v>98695.701539273869</v>
      </c>
      <c r="S36" s="93">
        <f t="shared" si="10"/>
        <v>8201.5720447805943</v>
      </c>
      <c r="T36" s="137">
        <f>epargne_mensuelle!K36</f>
        <v>0</v>
      </c>
      <c r="U36" s="93">
        <f t="shared" si="11"/>
        <v>128154.59303645886</v>
      </c>
      <c r="V36" s="93">
        <f t="shared" si="12"/>
        <v>0</v>
      </c>
      <c r="W36" s="137">
        <f>epargne_mensuelle!L36</f>
        <v>0</v>
      </c>
      <c r="X36" s="93">
        <f t="shared" si="13"/>
        <v>128154.59303645886</v>
      </c>
      <c r="Y36" s="93">
        <f t="shared" si="14"/>
        <v>0</v>
      </c>
      <c r="Z36" s="137">
        <f>epargne_mensuelle!M36</f>
        <v>0</v>
      </c>
      <c r="AA36" s="93">
        <f t="shared" si="15"/>
        <v>128154.59303645886</v>
      </c>
      <c r="AB36" s="93">
        <f t="shared" si="16"/>
        <v>0</v>
      </c>
      <c r="AC36" s="137">
        <f>epargne_mensuelle!N36</f>
        <v>0</v>
      </c>
      <c r="AD36" s="93">
        <f t="shared" si="17"/>
        <v>128154.59303645886</v>
      </c>
      <c r="AE36" s="93">
        <f t="shared" si="18"/>
        <v>0</v>
      </c>
      <c r="AF36" s="137">
        <f>epargne_mensuelle!O36</f>
        <v>0</v>
      </c>
      <c r="AG36" s="93">
        <f t="shared" si="19"/>
        <v>128154.59303645886</v>
      </c>
      <c r="AH36" s="93">
        <f t="shared" si="20"/>
        <v>0</v>
      </c>
      <c r="AI36" s="137">
        <f>epargne_mensuelle!P36</f>
        <v>0</v>
      </c>
      <c r="AJ36" s="93">
        <f t="shared" si="21"/>
        <v>128154.59303645886</v>
      </c>
      <c r="AK36" s="93">
        <f t="shared" si="22"/>
        <v>0</v>
      </c>
      <c r="AL36" s="137">
        <f>epargne_mensuelle!Q36</f>
        <v>0</v>
      </c>
      <c r="AM36" s="93">
        <f t="shared" si="23"/>
        <v>128154.59303645886</v>
      </c>
      <c r="AN36" s="93">
        <f t="shared" si="24"/>
        <v>0</v>
      </c>
      <c r="AO36" s="137">
        <f>epargne_mensuelle!R36</f>
        <v>0</v>
      </c>
      <c r="AP36" s="93">
        <f t="shared" si="25"/>
        <v>128154.59303645886</v>
      </c>
      <c r="AQ36" s="93">
        <f t="shared" si="26"/>
        <v>0</v>
      </c>
      <c r="AR36" s="137">
        <f>epargne_mensuelle!S36</f>
        <v>0</v>
      </c>
      <c r="AS36" s="93">
        <f t="shared" si="27"/>
        <v>128154.59303645886</v>
      </c>
      <c r="AT36" s="93">
        <f t="shared" si="28"/>
        <v>0</v>
      </c>
      <c r="AU36" s="137">
        <f>epargne_mensuelle!T36</f>
        <v>0</v>
      </c>
      <c r="AV36" s="93">
        <f t="shared" si="29"/>
        <v>128154.59303645886</v>
      </c>
      <c r="AW36" s="93">
        <f t="shared" si="30"/>
        <v>0</v>
      </c>
      <c r="AX36" s="137">
        <f>epargne_mensuelle!U36</f>
        <v>0</v>
      </c>
      <c r="AY36" s="93">
        <f t="shared" si="31"/>
        <v>128154.59303645886</v>
      </c>
      <c r="AZ36" s="93">
        <f t="shared" si="32"/>
        <v>0</v>
      </c>
      <c r="BA36" s="137">
        <f>epargne_mensuelle!V36</f>
        <v>0</v>
      </c>
      <c r="BB36" s="93">
        <f t="shared" si="33"/>
        <v>128154.59303645886</v>
      </c>
      <c r="BC36" s="93">
        <f t="shared" si="34"/>
        <v>0</v>
      </c>
      <c r="BD36" s="137">
        <f>epargne_mensuelle!W36</f>
        <v>0</v>
      </c>
      <c r="BE36" s="93">
        <f t="shared" si="35"/>
        <v>128154.59303645886</v>
      </c>
      <c r="BF36" s="93">
        <f t="shared" si="36"/>
        <v>0</v>
      </c>
      <c r="BG36" s="137">
        <f>epargne_mensuelle!X36</f>
        <v>0</v>
      </c>
      <c r="BH36" s="93">
        <f t="shared" si="37"/>
        <v>128154.59303645886</v>
      </c>
      <c r="BI36" s="93">
        <f t="shared" si="38"/>
        <v>0</v>
      </c>
      <c r="BJ36" s="137">
        <f>epargne_mensuelle!Y36</f>
        <v>0</v>
      </c>
      <c r="BK36" s="93">
        <f t="shared" si="39"/>
        <v>128154.59303645886</v>
      </c>
      <c r="BL36" s="93">
        <f t="shared" si="40"/>
        <v>0</v>
      </c>
      <c r="BM36" s="137">
        <f>epargne_mensuelle!Z36</f>
        <v>0</v>
      </c>
      <c r="BN36" s="93">
        <f t="shared" si="41"/>
        <v>128154.59303645886</v>
      </c>
      <c r="BO36" s="93">
        <f t="shared" si="42"/>
        <v>0</v>
      </c>
      <c r="BP36" s="137">
        <f>epargne_mensuelle!AA36</f>
        <v>0</v>
      </c>
      <c r="BQ36" s="93">
        <f t="shared" si="43"/>
        <v>128154.59303645886</v>
      </c>
      <c r="BR36" s="93">
        <f t="shared" si="44"/>
        <v>0</v>
      </c>
      <c r="BS36" s="137">
        <f>epargne_mensuelle!AB36</f>
        <v>0</v>
      </c>
      <c r="BT36" s="93">
        <f t="shared" si="45"/>
        <v>128154.59303645886</v>
      </c>
      <c r="BU36" s="93">
        <f t="shared" si="46"/>
        <v>0</v>
      </c>
      <c r="BV36" s="94">
        <f>cumul_epargne!C36</f>
        <v>501360.80944379146</v>
      </c>
      <c r="BW36" s="95">
        <f t="shared" si="60"/>
        <v>83523.365772908175</v>
      </c>
      <c r="BX36" s="134">
        <f t="shared" si="61"/>
        <v>584884.1752166996</v>
      </c>
      <c r="BY36" s="147"/>
      <c r="BZ36" s="135">
        <f t="shared" si="62"/>
        <v>584884.1752166996</v>
      </c>
      <c r="CA36" s="96">
        <f t="shared" si="63"/>
        <v>0.16659332799779225</v>
      </c>
      <c r="CB36" s="113">
        <f t="shared" si="47"/>
        <v>1.2892338379553581E-2</v>
      </c>
      <c r="CC36" s="119">
        <f t="shared" si="48"/>
        <v>55808.392796579967</v>
      </c>
      <c r="CD36" s="8" t="str">
        <f t="shared" si="64"/>
        <v>ACTIONNIRE35</v>
      </c>
    </row>
    <row r="37" spans="1:82" ht="18.5" thickBot="1" x14ac:dyDescent="0.45">
      <c r="A37" s="81">
        <f>epargne_mensuelle!A37</f>
        <v>36</v>
      </c>
      <c r="B37" s="81" t="str">
        <f>epargne_mensuelle!B37</f>
        <v>ACTIONNIRE36</v>
      </c>
      <c r="C37" s="146">
        <f>SUM(epargne_mensuelle!C37:E37)</f>
        <v>2040000</v>
      </c>
      <c r="D37" s="93">
        <f t="shared" ref="D37:D47" si="65">(C37/C$48)*C$53</f>
        <v>257856.30083203409</v>
      </c>
      <c r="E37" s="146">
        <f>epargne_mensuelle!F37</f>
        <v>0</v>
      </c>
      <c r="F37" s="93">
        <f t="shared" ref="F37:F47" si="66">C37-(C37/C$48)*C$52+(C37/C$48)*C$53+E37+(C37/C$48)*C$54</f>
        <v>305411.35880386271</v>
      </c>
      <c r="G37" s="93">
        <f t="shared" ref="G37:G47" si="67">(F37/F$48)*E$53</f>
        <v>0</v>
      </c>
      <c r="H37" s="146">
        <f>epargne_mensuelle!G37</f>
        <v>0</v>
      </c>
      <c r="I37" s="93">
        <f t="shared" ref="I37:I47" si="68">IF(F$48=0,F37+H37+((C37+E37)/(C$48+E$48))*E$54,F37-((F37/F$48)*E$52)+(F37/F$48)*E$53+H37+((C37+E37)/(C$48+E$48))*E$54)</f>
        <v>347965.51944179228</v>
      </c>
      <c r="J37" s="93">
        <f t="shared" ref="J37:J47" si="69">(I37/I$48)*H$53</f>
        <v>33061.228612788327</v>
      </c>
      <c r="K37" s="146">
        <f>epargne_mensuelle!H37</f>
        <v>0</v>
      </c>
      <c r="L37" s="93">
        <f t="shared" ref="L37:L47" si="70">IF(I$48=0,I37+K37+((C37+E37+H37)/(C$48+E$48+H$48))*H$54,I37-((I37/I$48)*H$52)+(I37/I$48)*H$53+K37+((C37+E37+H37)/(C$48+E$48+H$48))*H$54)</f>
        <v>296117.06882707629</v>
      </c>
      <c r="M37" s="93">
        <f t="shared" ref="M37:M47" si="71">(L37/L$48)*K$53</f>
        <v>11458.808429803783</v>
      </c>
      <c r="N37" s="146">
        <f>epargne_mensuelle!I37</f>
        <v>0</v>
      </c>
      <c r="O37" s="93">
        <f t="shared" ref="O37:O47" si="72">IF(L$48=0,L37+N37+((C37+E37+H37+K37)/(C$48+E$48+H$48+K$48))*K$54,L37-((L37/L$48)*K$52)+(L37/L$48)*K$53+N37+((C37+E37+H37+K37)/(C$48+E$48+H$48+K$48))*K$54)</f>
        <v>259472.64171522783</v>
      </c>
      <c r="P37" s="93">
        <f t="shared" ref="P37:P47" si="73">(O37/O$48)*N$53</f>
        <v>4102.4620456276698</v>
      </c>
      <c r="Q37" s="137">
        <f>epargne_mensuelle!J37</f>
        <v>0</v>
      </c>
      <c r="R37" s="93">
        <f t="shared" ref="R37:R47" si="74">IF(O$48=0,O37+Q37+((C37+E37+H37+K37+N37)/(C$48+E$48+H$48+K$48+N$48))*N$54,O37-((O37/O$48)*N$52)+(O37/O$48)*N$53+Q37+((C37+E37+H37+K37+N37)/(C$48+E$48+H$48+K$48+N$48))*N$54)</f>
        <v>401585.49959954782</v>
      </c>
      <c r="S37" s="93">
        <f t="shared" ref="S37:S47" si="75">(R37/R$48)*Q$53</f>
        <v>33371.589195242399</v>
      </c>
      <c r="T37" s="137">
        <f>epargne_mensuelle!K37</f>
        <v>0</v>
      </c>
      <c r="U37" s="93">
        <f t="shared" ref="U37:U47" si="76">IF(R$48=0,R37+T37+((C37+E37+H37+K37+N37+Q37)/(C$48+E$48+H$48+K$48+N$48+Q$48))*Q$54,R37-((R37/R$48)*Q$52)+(R37/R$48)*Q$53+T37+((C37+E37+H37+K37+N37+Q37)/(C$48+E$48+H$48+K$48+N$48+Q$48))*Q$54)</f>
        <v>521451.54720890895</v>
      </c>
      <c r="V37" s="93">
        <f t="shared" ref="V37:V47" si="77">(U37/U$48)*T$53</f>
        <v>0</v>
      </c>
      <c r="W37" s="137">
        <f>epargne_mensuelle!L37</f>
        <v>0</v>
      </c>
      <c r="X37" s="93">
        <f t="shared" ref="X37:X47" si="78">IF(U$48=0,U37+W37+((C37+E37+H37+K37+N37+Q37+T37)/(C$48+E$48+H$48+K$48+N$48+Q$48+T$48))*T$54,U37-((U37/U$48)*T$52)+(U37/U$48)*T$53+W37+((C37+E37+H37+K37+N37+Q37+T37)/(C$48+E$48+H$48+K$48+N$48+Q$48+T$48))*T$54)</f>
        <v>521451.54720890895</v>
      </c>
      <c r="Y37" s="93">
        <f t="shared" ref="Y37:Y47" si="79">(X37/X$48)*W$53</f>
        <v>0</v>
      </c>
      <c r="Z37" s="137">
        <f>epargne_mensuelle!M37</f>
        <v>0</v>
      </c>
      <c r="AA37" s="93">
        <f t="shared" ref="AA37:AA47" si="80">IF(X$48=0,X37+Z37+((C37+E37+H37+K37+N37+Q37+T37+W37)/(C$48+E$48+H$48+K$48+N$48+Q$48+T$48+W$48))*W$54,X37-((X37/X$48)*W$52)+(X37/X$48)*W$53+Z37+((C37+E37+H37+K37+N37+Q37+T37+W37)/(C$48+E$48+H$48+K$48+N$48+Q$48+T$48+W$48))*W$54)</f>
        <v>521451.54720890895</v>
      </c>
      <c r="AB37" s="93">
        <f t="shared" ref="AB37:AB47" si="81">(AA37/AA$48)*Z$53</f>
        <v>0</v>
      </c>
      <c r="AC37" s="137">
        <f>epargne_mensuelle!N37</f>
        <v>0</v>
      </c>
      <c r="AD37" s="93">
        <f t="shared" ref="AD37:AD47" si="82">IF(AA$48=0,AA37+AC37+((C37+E37+H37+K37+N37+Q37+T37+W37+Z37)/(C$48+E$48+H$48+K$48+N$48+Q$48+T$48+W$48+Z$48))*Z$54,AA37-((AA37/AA$48)*Z$52)+(AA37/AA$48)*Z$53+AC37+((C37+E37+H37+K37+N37+Q37+T37+W37+Z37)/(C$48+E$48+H$48+K$48+N$48+Q$48+T$48+W$48+Z$48))*Z$54)</f>
        <v>521451.54720890895</v>
      </c>
      <c r="AE37" s="93">
        <f t="shared" ref="AE37:AE47" si="83">(AD37/AD$48)*AC$53</f>
        <v>0</v>
      </c>
      <c r="AF37" s="137">
        <f>epargne_mensuelle!O37</f>
        <v>0</v>
      </c>
      <c r="AG37" s="93">
        <f t="shared" ref="AG37:AG47" si="84">IF(AD$48=0,AD37+AF37+((C37+E37+H37+K37+N37+Q37+T37+W37+Z37+AC37)/(C$48+E$48+H$48+K$48+N$48+Q$48+T$48+W$48+Z$48+AC$48))*AC$54,AD37-((AD37/AD$48)*AC$52)+(AD37/AD$48)*AC$53+AF37+((C37+E37+H37+K37+N37+Q37+T37+W37+Z37+AC37)/(C$48+E$48+H$48+K$48+N$48+Q$48+T$48+W$48+Z$48+AC$48))*AC$54)</f>
        <v>521451.54720890895</v>
      </c>
      <c r="AH37" s="93">
        <f t="shared" ref="AH37:AH47" si="85">(AG37/AG$48)*AF$53</f>
        <v>0</v>
      </c>
      <c r="AI37" s="137">
        <f>epargne_mensuelle!P37</f>
        <v>0</v>
      </c>
      <c r="AJ37" s="93">
        <f t="shared" ref="AJ37:AJ47" si="86">IF(AG$48=0,AG37+AI37+((C37+E37+H37+K37+N37+Q37+T37+W37+Z37+AC37+AF37)/(C$48+E$48+H$48+K$48+N$48+Q$48+T$48+W$48+Z$48+AC$48+AF$48))*AF$54,AG37-((AG37/AG$48)*AF$52)+(AG37/AG$48)*AF$53+AI37+((C37+E37+H37+K37+N37+Q37+T37+W37+Z37+AC37+AF37)/(C$48+E$48+H$48+K$48+N$48+Q$48+T$48+W$48+Z$48+AC$48+AF$48))*AF$54)</f>
        <v>521451.54720890895</v>
      </c>
      <c r="AK37" s="93">
        <f t="shared" ref="AK37:AK47" si="87">(AJ37/AJ$48)*AI$53</f>
        <v>0</v>
      </c>
      <c r="AL37" s="137">
        <f>epargne_mensuelle!Q37</f>
        <v>0</v>
      </c>
      <c r="AM37" s="93">
        <f t="shared" ref="AM37:AM47" si="88">IF(AJ$48=0,AJ37+AL37+((C37+E37+H37+K37+N37+Q37+T37+W37+Z37+AC37+AF37+AI37)/(C$48+E$48+H$48+K$48+N$48+Q$48+T$48+W$48+Z$48+AC$48+AF$48+AI$48))*AI$54,AJ37-((AJ37/AJ$48)*AI$52)+(AJ37/AJ$48)*AI$53+AL37+((C37+E37+H37+K37+N37+Q37+T37+W37+Z37+AC37+AF37+AI37)/(C$48+E$48+H$48+K$48+N$48+Q$48+T$48+W$48+Z$48+AC$48+AF$48+AI$48))*AI$54)</f>
        <v>521451.54720890895</v>
      </c>
      <c r="AN37" s="93">
        <f t="shared" ref="AN37:AN47" si="89">(AM37/AM$48)*AL$53</f>
        <v>0</v>
      </c>
      <c r="AO37" s="137">
        <f>epargne_mensuelle!R37</f>
        <v>0</v>
      </c>
      <c r="AP37" s="93">
        <f t="shared" ref="AP37:AP47" si="90">IF(AM$48=0,AM37+AO37+((C37+E37+H37+K37+N37+Q37+T37+W37+Z37+AC37+AF37+AI37+AL37)/(C$48+E$48+H$48+K$48+N$48+Q$48+T$48+W$48+Z$48+AC$48+AF$48+AI$48+AL$48))*AL$54,AM37-((AM37/AM$48)*AL$52)+(AM37/AM$48)*AL$53+AO37+((C37+E37+H37+K37+N37+Q37+T37+W37+Z37+AC37+AF37+AI37+AL37)/(C$48+E$48+H$48+K$48+N$48+Q$48+T$48+W$48+Z$48+AC$48+AF$48+AI$48+AL$48))*AL$54)</f>
        <v>521451.54720890895</v>
      </c>
      <c r="AQ37" s="93">
        <f t="shared" ref="AQ37:AQ47" si="91">(AP37/AP$48)*AO$53</f>
        <v>0</v>
      </c>
      <c r="AR37" s="137">
        <f>epargne_mensuelle!S37</f>
        <v>0</v>
      </c>
      <c r="AS37" s="93">
        <f t="shared" ref="AS37:AS47" si="92">IF(AP$48=0,AP37+AR37+((C37+E37+H37+K37+N37+Q37+T37+W37+Z37+AC37+AF37+AI37+AL37+AO37)/(C$48+E$48+H$48+K$48+N$48+Q$48+T$48+W$48+Z$48+AC$48+AF$48+AI$48+AL$48+AO$48))*AO$54,AP37-((AP37/AP$48)*AO$52)+(AP37/AP$48)*AO$53+AR37+((C37+E37+H37+K37+N37+Q37+T37+W37+Z37+AC37+AF37+AI37+AL37+AO37)/(C$48+E$48+H$48+K$48+N$48+Q$48+T$48+W$48+Z$48+AC$48+AF$48+AI$48+AL$48+AO$48))*AO$54)</f>
        <v>521451.54720890895</v>
      </c>
      <c r="AT37" s="93">
        <f t="shared" ref="AT37:AT47" si="93">(AS37/AS$48)*AR$53</f>
        <v>0</v>
      </c>
      <c r="AU37" s="137">
        <f>epargne_mensuelle!T37</f>
        <v>0</v>
      </c>
      <c r="AV37" s="93">
        <f t="shared" ref="AV37:AV47" si="94">IF(AS$48=0,AS37+AU37+((C37+E37+H37+K37+N37+Q37+T37+W37+Z37+AC37+AF37+AI37+AL37+AO37+AR37)/(C$48+E$48+H$48+K$48+N$48+Q$48+T$48+W$48+Z$48+AC$48+AF$48+AI$48+AL$48+AO$48+AR$48))*AR$54,AS37-((AS37/AS$48)*AR$52)+(AS37/AS$48)*AR$53+AU37+((C37+E37+H37+K37+N37+Q37+T37+W37+Z37+AC37+AF37+AI37+AL37+AO37+AR37)/(C$48+E$48+H$48+K$48+N$48+Q$48+T$48+W$48+Z$48+AC$48+AF$48+AI$48+AL$48+AO$48+AR$48))*AR$54)</f>
        <v>521451.54720890895</v>
      </c>
      <c r="AW37" s="93">
        <f t="shared" ref="AW37:AW47" si="95">(AV37/AV$48)*AU$53</f>
        <v>0</v>
      </c>
      <c r="AX37" s="137">
        <f>epargne_mensuelle!U37</f>
        <v>0</v>
      </c>
      <c r="AY37" s="93">
        <f t="shared" ref="AY37:AY47" si="96">IF(AV$48=0,AV37+AX37+((C37+E37+H37+K37+N37+Q37+T37+W37+Z37+AC37+AF37+AI37+AL37+AO37+AR37+AU37)/(C$48+E$48+H$48+K$48+N$48+Q$48+T$48+W$48+Z$48+AC$48+AF$48+AI$48+AL$48+AO$48+AR$48+AU$48))*AU$54,AV37-((AV37/AV$48)*AU$52)+(AV37/AV$48)*AU$53+AX37+((C37+E37+H37+K37+N37+Q37+T37+W37+Z37+AC37+AF37+AI37+AL37+AO37+AR37+AU37)/(C$48+E$48+H$48+K$48+N$48+Q$48+T$48+W$48+Z$48+AC$48+AF$48+AI$48+AL$48+AO$48+AR$48+AU$48))*AU$54)</f>
        <v>521451.54720890895</v>
      </c>
      <c r="AZ37" s="93">
        <f t="shared" ref="AZ37:AZ47" si="97">(AY37/AY$48)*AX$53</f>
        <v>0</v>
      </c>
      <c r="BA37" s="137">
        <f>epargne_mensuelle!V37</f>
        <v>0</v>
      </c>
      <c r="BB37" s="93">
        <f t="shared" ref="BB37:BB47" si="98">IF(AY$48=0,AY37+BA37+((C37+E37+H37+K37+N37+Q37+T37+W37+Z37+AC37+AF37+AI37+AL37+AO37+AR37+AU37+AX37)/(C$48+E$48+H$48+K$48+N$48+Q$48+T$48+W$48+Z$48+AC$48+AF$48+AI$48+AL$48+AO$48+AR$48+AU$48+AX$48))*AX$54,AY37-((AY37/AY$48)*AX$52)+(AY37/AY$48)*AX$53+BA37+((C37+E37+H37+K37+N37+Q37+T37+W37+Z37+AC37+AF37+AI37+AL37+AO37+AR37+AU37+AX37)/(C$48+E$48+H$48+K$48+N$48+Q$48+T$48+W$48+Z$48+AC$48+AF$48+AI$48+AL$48+AO$48+AR$48+AU$48+AX$48))*AX$54)</f>
        <v>521451.54720890895</v>
      </c>
      <c r="BC37" s="93">
        <f t="shared" ref="BC37:BC47" si="99">(BB37/BB$48)*BA$53</f>
        <v>0</v>
      </c>
      <c r="BD37" s="137">
        <f>epargne_mensuelle!W37</f>
        <v>0</v>
      </c>
      <c r="BE37" s="93">
        <f t="shared" ref="BE37:BE47" si="100">IF(BB$48=0,BB37+BD37+((C37+E37+H37+K37+N37+Q37+T37+W37+Z37+AC37+AF37+AI37+AL37+AO37+AR37+AU37+AX37+BA37)/(C$48+E$48+H$48+K$48+N$48+Q$48+T$48+W$48+Z$48+AC$48+AF$48+AI$48+AL$48+AO$48+AR$48+AU$48+AX$48+BA$48))*BA$54,BB37-((BB37/BB$48)*BA$52)+(BB37/BB$48)*BA$53+BD37+((C37+E37+H37+K37+N37+Q37+T37+W37+Z37+AC37+AF37+AI37+AL37+AO37+AR37+AU37+AX37+BA37)/(C$48+E$48+H$48+K$48+N$48+Q$48+T$48+W$48+Z$48+AC$48+AF$48+AI$48+AL$48+AO$48+AR$48+AU$48+AX$48+BA$48))*BA$54)</f>
        <v>521451.54720890895</v>
      </c>
      <c r="BF37" s="93">
        <f t="shared" ref="BF37:BF47" si="101">(BE37/BE$48)*BD$53</f>
        <v>0</v>
      </c>
      <c r="BG37" s="137">
        <f>epargne_mensuelle!X37</f>
        <v>0</v>
      </c>
      <c r="BH37" s="93">
        <f t="shared" ref="BH37:BH47" si="102">IF(BE$48=0,BE37+BG37+((C37+E37+H37+K37+N37+Q37+T37+W37+Z37+AC37+AF37+AI37+AL37+AO37+AR37+AU37+AX37+BA37+BD37)/(C$48+E$48+H$48+K$48+N$48+Q$48+T$48+W$48+Z$48+AC$48+AF$48+AI$48+AL$48+AO$48+AR$48+AU$48+AX$48+BA$48+BD$48))*BD$54,BE37-((BE37/BE$48)*BD$52)+(BE37/BE$48)*BD$53+BG37+((C37+E37+H37+K37+N37+Q37+T37+W37+Z37+AC37+AF37+AI37+AL37+AO37+AR37+AU37+AX37+BA37+BD37)/(C$48+E$48+H$48+K$48+N$48+Q$48+T$48+W$48+Z$48+AC$48+AF$48+AI$48+AL$48+AO$48+AR$48+AU$48+AX$48+BA$48+BD$48))*BD$54)</f>
        <v>521451.54720890895</v>
      </c>
      <c r="BI37" s="93">
        <f t="shared" ref="BI37:BI47" si="103">(BH37/BH$48)*BG$53</f>
        <v>0</v>
      </c>
      <c r="BJ37" s="137">
        <f>epargne_mensuelle!Y37</f>
        <v>0</v>
      </c>
      <c r="BK37" s="93">
        <f t="shared" ref="BK37:BK47" si="104">IF(BH$48=0,BH37+BJ37+((C37+E37+H37+K37+N37+Q37+T37+W37+Z37+AC37+AF37+AI37+AL37+AO37+AR37+AU37+AX37+BA37+BD37+BG37)/(C$48+E$48+H$48+K$48+N$48+Q$48+T$48+W$48+Z$48+AC$48+AF$48+AI$48+AL$48+AO$48+AR$48+AU$48+AX$48+BA$48+BD$48+BG$48))*BG$54,BH37-((BH37/BH$48)*BG$52)+(BH37/BH$48)*BG$53+BJ37+((C37+E37+H37+K37+N37+Q37+T37+W37+Z37+AC37+AF37+AI37+AL37+AO37+AR37+AU37+AX37+BA37+BD37+BG37)/(C$48+E$48+H$48+K$48+N$48+Q$48+T$48+W$48+Z$48+AC$48+AF$48+AI$48+AL$48+AO$48+AR$48+AU$48+AX$48+BA$48+BD$48+BG$48))*BG$54)</f>
        <v>521451.54720890895</v>
      </c>
      <c r="BL37" s="93">
        <f t="shared" ref="BL37:BL47" si="105">(BK37/BK$48)*BJ$53</f>
        <v>0</v>
      </c>
      <c r="BM37" s="137">
        <f>epargne_mensuelle!Z37</f>
        <v>0</v>
      </c>
      <c r="BN37" s="93">
        <f t="shared" ref="BN37:BN47" si="106">IF(BK$48=0,BK37+BM37+((C37+E37+H37+K37+N37+Q37+T37+W37+Z37+AC37+AF37+AI37+AL37+AO37+AR37+AU37+AX37+BA37+BD37+BG37+BJ37)/(C$48+E$48+H$48+K$48+N$48+Q$48+T$48+W$48+Z$48+AC$48+AF$48+AI$48+AL$48+AO$48+AR$48+AU$48+AX$48+BA$48+BD$48+BG$48+BJ$48))*BJ$54,BK37-((BK37/BK$48)*BJ$52)+(BK37/BK$48)*BJ$53+BM37+((C37+E37+H37+K37+N37+Q37+T37+W37+Z37+AC37+AF37+AI37+AL37+AO37+AR37+AU37+AX37+BA37+BD37+BG37+BJ37)/(C$48+E$48+H$48+K$48+N$48+Q$48+T$48+W$48+Z$48+AC$48+AF$48+AI$48+AL$48+AO$48+AR$48+AU$48+AX$48+BA$48+BD$48+BG$48+BJ$48))*BJ$54)</f>
        <v>521451.54720890895</v>
      </c>
      <c r="BO37" s="93">
        <f t="shared" ref="BO37:BO47" si="107">(BN37/BN$48)*BM$53</f>
        <v>0</v>
      </c>
      <c r="BP37" s="137">
        <f>epargne_mensuelle!AA37</f>
        <v>0</v>
      </c>
      <c r="BQ37" s="93">
        <f t="shared" ref="BQ37:BQ47" si="108">IF(BN$48=0,BN37+BP37+((F37+H37+K37+N37+Q37+T37+W37+Z37+AC37+AF37+AI37+AL37+AO37+AR37+AU37+AX37+BA37+BD37+BG37+BJ37+BM37)/(F$48+H$48+K$48+N$48+Q$48+T$48+W$48+Z$48+AC$48+AF$48+AI$48+AL$48+AO$48+AR$48+AU$48+AX$48+BA$48+BD$48+BG$48+BJ$48+BM$48))*BM$54,BN37-((BN37/BN$48)*BM$52)+(BN37/BN$48)*BM$53+BP37+((F37+H37+K37+N37+Q37+T37+W37+Z37+AC37+AF37+AI37+AL37+AO37+AR37+AU37+AX37+BA37+BD37+BG37+BJ37+BM37)/(F$48+H$48+K$48+N$48+Q$48+T$48+W$48+Z$48+AC$48+AF$48+AI$48+AL$48+AO$48+AR$48+AU$48+AX$48+BA$48+BD$48+BG$48+BJ$48+BM$48))*BM$54)</f>
        <v>521451.54720890895</v>
      </c>
      <c r="BR37" s="93">
        <f t="shared" ref="BR37:BR47" si="109">(BQ37/BQ$48)*BP$53</f>
        <v>0</v>
      </c>
      <c r="BS37" s="137">
        <f>epargne_mensuelle!AB37</f>
        <v>0</v>
      </c>
      <c r="BT37" s="93">
        <f t="shared" ref="BT37:BT47" si="110">IF(BQ$48=0,BQ37+BS37+((I37+K37+N37+Q37+T37+W37+Z37+AC37+AF37+AI37+AL37+AO37+AR37+AU37+AX37+BA37+BD37+BG37+BJ37+BM37+BP37)/(I$48+K$48+N$48+Q$48+T$48+W$48+Z$48+AC$48+AF$48+AI$48+AL$48+AO$48+AR$48+AU$48+AX$48+BA$48+BD$48+BG$48+BJ$48+BM$48+BP$48))*BP$54,BQ37-((BQ37/BQ$48)*BP$52)+(BQ37/BQ$48)*BP$53+BS37+((I37+K37+N37+Q37+T37+W37+Z37+AC37+AF37+AI37+AL37+AO37+AR37+AU37+AX37+BA37+BD37+BG37+BJ37+BM37+BP37)/(I$48+K$48+N$48+Q$48+T$48+W$48+Z$48+AC$48+AF$48+AI$48+AL$48+AO$48+AR$48+AU$48+AX$48+BA$48+BD$48+BG$48+BJ$48+BM$48+BP$48))*BP$54)</f>
        <v>521451.54720890895</v>
      </c>
      <c r="BU37" s="93">
        <f t="shared" ref="BU37:BU47" si="111">(BT37/BT$48)*BS$53</f>
        <v>0</v>
      </c>
      <c r="BV37" s="94">
        <f>cumul_epargne!C37</f>
        <v>2040000</v>
      </c>
      <c r="BW37" s="95">
        <f t="shared" ref="BW37:BW47" si="112">D37+G37+J37+M37+P37+S37+V37+Y37+AB37+AE37+AH37+AK37+AN37+AQ37+AT37+AW37+AZ37+BC37+BF37+BI37+BL37+BO37+BR37+BU37</f>
        <v>339850.38911549619</v>
      </c>
      <c r="BX37" s="134">
        <f t="shared" ref="BX37:BX47" si="113">IF(BV37="",BW37,BV37+BW37)</f>
        <v>2379850.3891154961</v>
      </c>
      <c r="BY37" s="147"/>
      <c r="BZ37" s="135">
        <f t="shared" ref="BZ37:BZ47" si="114">BX37+BY37</f>
        <v>2379850.3891154961</v>
      </c>
      <c r="CA37" s="96">
        <f t="shared" ref="CA37:CA47" si="115">IF(BV37="","",BW37/BV37)</f>
        <v>0.16659332799779225</v>
      </c>
      <c r="CB37" s="113">
        <f t="shared" ref="CB37:CB47" si="116">BZ37/BZ$48</f>
        <v>5.2457969986658658E-2</v>
      </c>
      <c r="CC37" s="119">
        <f t="shared" ref="CC37:CC47" si="117">CB37*(C$50-BW$58-BW$57)</f>
        <v>227080.21680299877</v>
      </c>
      <c r="CD37" s="8" t="str">
        <f t="shared" ref="CD37:CD47" si="118">B37</f>
        <v>ACTIONNIRE36</v>
      </c>
    </row>
    <row r="38" spans="1:82" ht="18.5" thickBot="1" x14ac:dyDescent="0.45">
      <c r="A38" s="81">
        <f>epargne_mensuelle!A38</f>
        <v>37</v>
      </c>
      <c r="B38" s="81" t="str">
        <f>epargne_mensuelle!B38</f>
        <v>ACTIONNIRE37</v>
      </c>
      <c r="C38" s="146">
        <f>SUM(epargne_mensuelle!C38:E38)</f>
        <v>20000</v>
      </c>
      <c r="D38" s="93">
        <f t="shared" si="65"/>
        <v>2528.0029493336669</v>
      </c>
      <c r="E38" s="146">
        <f>epargne_mensuelle!F38</f>
        <v>115000</v>
      </c>
      <c r="F38" s="93">
        <f t="shared" si="66"/>
        <v>117994.22900788102</v>
      </c>
      <c r="G38" s="93">
        <f t="shared" si="67"/>
        <v>0</v>
      </c>
      <c r="H38" s="146">
        <f>epargne_mensuelle!G38</f>
        <v>0</v>
      </c>
      <c r="I38" s="93">
        <f t="shared" si="68"/>
        <v>120810.31316774401</v>
      </c>
      <c r="J38" s="93">
        <f t="shared" si="69"/>
        <v>11478.543589114082</v>
      </c>
      <c r="K38" s="146">
        <f>epargne_mensuelle!H38</f>
        <v>0</v>
      </c>
      <c r="L38" s="93">
        <f t="shared" si="70"/>
        <v>53024.293524902263</v>
      </c>
      <c r="M38" s="93">
        <f t="shared" si="71"/>
        <v>2051.8750372419704</v>
      </c>
      <c r="N38" s="146">
        <f>epargne_mensuelle!I38</f>
        <v>0</v>
      </c>
      <c r="O38" s="93">
        <f t="shared" si="72"/>
        <v>30747.062813641773</v>
      </c>
      <c r="P38" s="93">
        <f t="shared" si="73"/>
        <v>486.13471298424184</v>
      </c>
      <c r="Q38" s="137">
        <f>epargne_mensuelle!J38</f>
        <v>0</v>
      </c>
      <c r="R38" s="93">
        <f t="shared" si="74"/>
        <v>35000.032075655683</v>
      </c>
      <c r="S38" s="93">
        <f t="shared" si="75"/>
        <v>2908.4882133787173</v>
      </c>
      <c r="T38" s="137">
        <f>epargne_mensuelle!K38</f>
        <v>0</v>
      </c>
      <c r="U38" s="93">
        <f t="shared" si="76"/>
        <v>40715.442345167139</v>
      </c>
      <c r="V38" s="93">
        <f t="shared" si="77"/>
        <v>0</v>
      </c>
      <c r="W38" s="137">
        <f>epargne_mensuelle!L38</f>
        <v>0</v>
      </c>
      <c r="X38" s="93">
        <f t="shared" si="78"/>
        <v>40715.442345167139</v>
      </c>
      <c r="Y38" s="93">
        <f t="shared" si="79"/>
        <v>0</v>
      </c>
      <c r="Z38" s="137">
        <f>epargne_mensuelle!M38</f>
        <v>0</v>
      </c>
      <c r="AA38" s="93">
        <f t="shared" si="80"/>
        <v>40715.442345167139</v>
      </c>
      <c r="AB38" s="93">
        <f t="shared" si="81"/>
        <v>0</v>
      </c>
      <c r="AC38" s="137">
        <f>epargne_mensuelle!N38</f>
        <v>0</v>
      </c>
      <c r="AD38" s="93">
        <f t="shared" si="82"/>
        <v>40715.442345167139</v>
      </c>
      <c r="AE38" s="93">
        <f t="shared" si="83"/>
        <v>0</v>
      </c>
      <c r="AF38" s="137">
        <f>epargne_mensuelle!O38</f>
        <v>0</v>
      </c>
      <c r="AG38" s="93">
        <f t="shared" si="84"/>
        <v>40715.442345167139</v>
      </c>
      <c r="AH38" s="93">
        <f t="shared" si="85"/>
        <v>0</v>
      </c>
      <c r="AI38" s="137">
        <f>epargne_mensuelle!P38</f>
        <v>0</v>
      </c>
      <c r="AJ38" s="93">
        <f t="shared" si="86"/>
        <v>40715.442345167139</v>
      </c>
      <c r="AK38" s="93">
        <f t="shared" si="87"/>
        <v>0</v>
      </c>
      <c r="AL38" s="137">
        <f>epargne_mensuelle!Q38</f>
        <v>0</v>
      </c>
      <c r="AM38" s="93">
        <f t="shared" si="88"/>
        <v>40715.442345167139</v>
      </c>
      <c r="AN38" s="93">
        <f t="shared" si="89"/>
        <v>0</v>
      </c>
      <c r="AO38" s="137">
        <f>epargne_mensuelle!R38</f>
        <v>0</v>
      </c>
      <c r="AP38" s="93">
        <f t="shared" si="90"/>
        <v>40715.442345167139</v>
      </c>
      <c r="AQ38" s="93">
        <f t="shared" si="91"/>
        <v>0</v>
      </c>
      <c r="AR38" s="137">
        <f>epargne_mensuelle!S38</f>
        <v>0</v>
      </c>
      <c r="AS38" s="93">
        <f t="shared" si="92"/>
        <v>40715.442345167139</v>
      </c>
      <c r="AT38" s="93">
        <f t="shared" si="93"/>
        <v>0</v>
      </c>
      <c r="AU38" s="137">
        <f>epargne_mensuelle!T38</f>
        <v>0</v>
      </c>
      <c r="AV38" s="93">
        <f t="shared" si="94"/>
        <v>40715.442345167139</v>
      </c>
      <c r="AW38" s="93">
        <f t="shared" si="95"/>
        <v>0</v>
      </c>
      <c r="AX38" s="137">
        <f>epargne_mensuelle!U38</f>
        <v>0</v>
      </c>
      <c r="AY38" s="93">
        <f t="shared" si="96"/>
        <v>40715.442345167139</v>
      </c>
      <c r="AZ38" s="93">
        <f t="shared" si="97"/>
        <v>0</v>
      </c>
      <c r="BA38" s="137">
        <f>epargne_mensuelle!V38</f>
        <v>0</v>
      </c>
      <c r="BB38" s="93">
        <f t="shared" si="98"/>
        <v>40715.442345167139</v>
      </c>
      <c r="BC38" s="93">
        <f t="shared" si="99"/>
        <v>0</v>
      </c>
      <c r="BD38" s="137">
        <f>epargne_mensuelle!W38</f>
        <v>0</v>
      </c>
      <c r="BE38" s="93">
        <f t="shared" si="100"/>
        <v>40715.442345167139</v>
      </c>
      <c r="BF38" s="93">
        <f t="shared" si="101"/>
        <v>0</v>
      </c>
      <c r="BG38" s="137">
        <f>epargne_mensuelle!X38</f>
        <v>0</v>
      </c>
      <c r="BH38" s="93">
        <f t="shared" si="102"/>
        <v>40715.442345167139</v>
      </c>
      <c r="BI38" s="93">
        <f t="shared" si="103"/>
        <v>0</v>
      </c>
      <c r="BJ38" s="137">
        <f>epargne_mensuelle!Y38</f>
        <v>0</v>
      </c>
      <c r="BK38" s="93">
        <f t="shared" si="104"/>
        <v>40715.442345167139</v>
      </c>
      <c r="BL38" s="93">
        <f t="shared" si="105"/>
        <v>0</v>
      </c>
      <c r="BM38" s="137">
        <f>epargne_mensuelle!Z38</f>
        <v>0</v>
      </c>
      <c r="BN38" s="93">
        <f t="shared" si="106"/>
        <v>40715.442345167139</v>
      </c>
      <c r="BO38" s="93">
        <f t="shared" si="107"/>
        <v>0</v>
      </c>
      <c r="BP38" s="137">
        <f>epargne_mensuelle!AA38</f>
        <v>0</v>
      </c>
      <c r="BQ38" s="93">
        <f t="shared" si="108"/>
        <v>40715.442345167139</v>
      </c>
      <c r="BR38" s="93">
        <f t="shared" si="109"/>
        <v>0</v>
      </c>
      <c r="BS38" s="137">
        <f>epargne_mensuelle!AB38</f>
        <v>0</v>
      </c>
      <c r="BT38" s="93">
        <f t="shared" si="110"/>
        <v>40715.442345167139</v>
      </c>
      <c r="BU38" s="93">
        <f t="shared" si="111"/>
        <v>0</v>
      </c>
      <c r="BV38" s="94">
        <f>cumul_epargne!C38</f>
        <v>135000</v>
      </c>
      <c r="BW38" s="95">
        <f t="shared" si="112"/>
        <v>19453.044502052682</v>
      </c>
      <c r="BX38" s="134">
        <f t="shared" si="113"/>
        <v>154453.04450205268</v>
      </c>
      <c r="BY38" s="147"/>
      <c r="BZ38" s="135">
        <f t="shared" si="114"/>
        <v>154453.04450205268</v>
      </c>
      <c r="CA38" s="96">
        <f t="shared" si="115"/>
        <v>0.14409662594113098</v>
      </c>
      <c r="CB38" s="113">
        <f t="shared" si="116"/>
        <v>3.4045388776930896E-3</v>
      </c>
      <c r="CC38" s="119">
        <f t="shared" si="117"/>
        <v>14737.578039283715</v>
      </c>
      <c r="CD38" s="8" t="str">
        <f t="shared" si="118"/>
        <v>ACTIONNIRE37</v>
      </c>
    </row>
    <row r="39" spans="1:82" ht="18.5" thickBot="1" x14ac:dyDescent="0.45">
      <c r="A39" s="81">
        <f>epargne_mensuelle!A39</f>
        <v>38</v>
      </c>
      <c r="B39" s="81" t="str">
        <f>epargne_mensuelle!B39</f>
        <v>ACTIONNIRE38</v>
      </c>
      <c r="C39" s="146">
        <f>SUM(epargne_mensuelle!C39:E39)</f>
        <v>5000</v>
      </c>
      <c r="D39" s="93">
        <f t="shared" si="65"/>
        <v>632.00073733341674</v>
      </c>
      <c r="E39" s="146">
        <f>epargne_mensuelle!F39</f>
        <v>0</v>
      </c>
      <c r="F39" s="93">
        <f t="shared" si="66"/>
        <v>748.55725197025288</v>
      </c>
      <c r="G39" s="93">
        <f t="shared" si="67"/>
        <v>0</v>
      </c>
      <c r="H39" s="146">
        <f>epargne_mensuelle!G39</f>
        <v>0</v>
      </c>
      <c r="I39" s="93">
        <f t="shared" si="68"/>
        <v>852.85666529851164</v>
      </c>
      <c r="J39" s="93">
        <f t="shared" si="69"/>
        <v>81.03242307055973</v>
      </c>
      <c r="K39" s="146">
        <f>epargne_mensuelle!H39</f>
        <v>0</v>
      </c>
      <c r="L39" s="93">
        <f t="shared" si="70"/>
        <v>725.7771294781287</v>
      </c>
      <c r="M39" s="93">
        <f t="shared" si="71"/>
        <v>28.085314778930865</v>
      </c>
      <c r="N39" s="146">
        <f>epargne_mensuelle!I39</f>
        <v>0</v>
      </c>
      <c r="O39" s="93">
        <f t="shared" si="72"/>
        <v>635.96235714516638</v>
      </c>
      <c r="P39" s="93">
        <f t="shared" si="73"/>
        <v>10.055054033401154</v>
      </c>
      <c r="Q39" s="137">
        <f>epargne_mensuelle!J39</f>
        <v>0</v>
      </c>
      <c r="R39" s="93">
        <f t="shared" si="74"/>
        <v>984.27818529300953</v>
      </c>
      <c r="S39" s="93">
        <f t="shared" si="75"/>
        <v>81.793110772652938</v>
      </c>
      <c r="T39" s="137">
        <f>epargne_mensuelle!K39</f>
        <v>0</v>
      </c>
      <c r="U39" s="93">
        <f t="shared" si="76"/>
        <v>1278.0675176688947</v>
      </c>
      <c r="V39" s="93">
        <f t="shared" si="77"/>
        <v>0</v>
      </c>
      <c r="W39" s="137">
        <f>epargne_mensuelle!L39</f>
        <v>0</v>
      </c>
      <c r="X39" s="93">
        <f t="shared" si="78"/>
        <v>1278.0675176688947</v>
      </c>
      <c r="Y39" s="93">
        <f t="shared" si="79"/>
        <v>0</v>
      </c>
      <c r="Z39" s="137">
        <f>epargne_mensuelle!M39</f>
        <v>0</v>
      </c>
      <c r="AA39" s="93">
        <f t="shared" si="80"/>
        <v>1278.0675176688947</v>
      </c>
      <c r="AB39" s="93">
        <f t="shared" si="81"/>
        <v>0</v>
      </c>
      <c r="AC39" s="137">
        <f>epargne_mensuelle!N39</f>
        <v>0</v>
      </c>
      <c r="AD39" s="93">
        <f t="shared" si="82"/>
        <v>1278.0675176688947</v>
      </c>
      <c r="AE39" s="93">
        <f t="shared" si="83"/>
        <v>0</v>
      </c>
      <c r="AF39" s="137">
        <f>epargne_mensuelle!O39</f>
        <v>0</v>
      </c>
      <c r="AG39" s="93">
        <f t="shared" si="84"/>
        <v>1278.0675176688947</v>
      </c>
      <c r="AH39" s="93">
        <f t="shared" si="85"/>
        <v>0</v>
      </c>
      <c r="AI39" s="137">
        <f>epargne_mensuelle!P39</f>
        <v>0</v>
      </c>
      <c r="AJ39" s="93">
        <f t="shared" si="86"/>
        <v>1278.0675176688947</v>
      </c>
      <c r="AK39" s="93">
        <f t="shared" si="87"/>
        <v>0</v>
      </c>
      <c r="AL39" s="137">
        <f>epargne_mensuelle!Q39</f>
        <v>0</v>
      </c>
      <c r="AM39" s="93">
        <f t="shared" si="88"/>
        <v>1278.0675176688947</v>
      </c>
      <c r="AN39" s="93">
        <f t="shared" si="89"/>
        <v>0</v>
      </c>
      <c r="AO39" s="137">
        <f>epargne_mensuelle!R39</f>
        <v>0</v>
      </c>
      <c r="AP39" s="93">
        <f t="shared" si="90"/>
        <v>1278.0675176688947</v>
      </c>
      <c r="AQ39" s="93">
        <f t="shared" si="91"/>
        <v>0</v>
      </c>
      <c r="AR39" s="137">
        <f>epargne_mensuelle!S39</f>
        <v>0</v>
      </c>
      <c r="AS39" s="93">
        <f t="shared" si="92"/>
        <v>1278.0675176688947</v>
      </c>
      <c r="AT39" s="93">
        <f t="shared" si="93"/>
        <v>0</v>
      </c>
      <c r="AU39" s="137">
        <f>epargne_mensuelle!T39</f>
        <v>0</v>
      </c>
      <c r="AV39" s="93">
        <f t="shared" si="94"/>
        <v>1278.0675176688947</v>
      </c>
      <c r="AW39" s="93">
        <f t="shared" si="95"/>
        <v>0</v>
      </c>
      <c r="AX39" s="137">
        <f>epargne_mensuelle!U39</f>
        <v>0</v>
      </c>
      <c r="AY39" s="93">
        <f t="shared" si="96"/>
        <v>1278.0675176688947</v>
      </c>
      <c r="AZ39" s="93">
        <f t="shared" si="97"/>
        <v>0</v>
      </c>
      <c r="BA39" s="137">
        <f>epargne_mensuelle!V39</f>
        <v>0</v>
      </c>
      <c r="BB39" s="93">
        <f t="shared" si="98"/>
        <v>1278.0675176688947</v>
      </c>
      <c r="BC39" s="93">
        <f t="shared" si="99"/>
        <v>0</v>
      </c>
      <c r="BD39" s="137">
        <f>epargne_mensuelle!W39</f>
        <v>0</v>
      </c>
      <c r="BE39" s="93">
        <f t="shared" si="100"/>
        <v>1278.0675176688947</v>
      </c>
      <c r="BF39" s="93">
        <f t="shared" si="101"/>
        <v>0</v>
      </c>
      <c r="BG39" s="137">
        <f>epargne_mensuelle!X39</f>
        <v>0</v>
      </c>
      <c r="BH39" s="93">
        <f t="shared" si="102"/>
        <v>1278.0675176688947</v>
      </c>
      <c r="BI39" s="93">
        <f t="shared" si="103"/>
        <v>0</v>
      </c>
      <c r="BJ39" s="137">
        <f>epargne_mensuelle!Y39</f>
        <v>0</v>
      </c>
      <c r="BK39" s="93">
        <f t="shared" si="104"/>
        <v>1278.0675176688947</v>
      </c>
      <c r="BL39" s="93">
        <f t="shared" si="105"/>
        <v>0</v>
      </c>
      <c r="BM39" s="137">
        <f>epargne_mensuelle!Z39</f>
        <v>0</v>
      </c>
      <c r="BN39" s="93">
        <f t="shared" si="106"/>
        <v>1278.0675176688947</v>
      </c>
      <c r="BO39" s="93">
        <f t="shared" si="107"/>
        <v>0</v>
      </c>
      <c r="BP39" s="137">
        <f>epargne_mensuelle!AA39</f>
        <v>0</v>
      </c>
      <c r="BQ39" s="93">
        <f t="shared" si="108"/>
        <v>1278.0675176688947</v>
      </c>
      <c r="BR39" s="93">
        <f t="shared" si="109"/>
        <v>0</v>
      </c>
      <c r="BS39" s="137">
        <f>epargne_mensuelle!AB39</f>
        <v>0</v>
      </c>
      <c r="BT39" s="93">
        <f t="shared" si="110"/>
        <v>1278.0675176688947</v>
      </c>
      <c r="BU39" s="93">
        <f t="shared" si="111"/>
        <v>0</v>
      </c>
      <c r="BV39" s="94">
        <f>cumul_epargne!C39</f>
        <v>5000</v>
      </c>
      <c r="BW39" s="95">
        <f t="shared" si="112"/>
        <v>832.96663998896133</v>
      </c>
      <c r="BX39" s="134">
        <f t="shared" si="113"/>
        <v>5832.9666399889611</v>
      </c>
      <c r="BY39" s="147"/>
      <c r="BZ39" s="135">
        <f t="shared" si="114"/>
        <v>5832.9666399889611</v>
      </c>
      <c r="CA39" s="96">
        <f t="shared" si="115"/>
        <v>0.16659332799779228</v>
      </c>
      <c r="CB39" s="113">
        <f t="shared" si="116"/>
        <v>1.2857345584965359E-4</v>
      </c>
      <c r="CC39" s="119">
        <f t="shared" si="117"/>
        <v>556.56915883087947</v>
      </c>
      <c r="CD39" s="8" t="str">
        <f t="shared" si="118"/>
        <v>ACTIONNIRE38</v>
      </c>
    </row>
    <row r="40" spans="1:82" ht="18.5" thickBot="1" x14ac:dyDescent="0.45">
      <c r="A40" s="81">
        <f>epargne_mensuelle!A40</f>
        <v>39</v>
      </c>
      <c r="B40" s="81" t="str">
        <f>epargne_mensuelle!B40</f>
        <v>ACTIONNIRE39</v>
      </c>
      <c r="C40" s="146">
        <f>SUM(epargne_mensuelle!C40:E40)</f>
        <v>360000</v>
      </c>
      <c r="D40" s="93">
        <f t="shared" si="65"/>
        <v>45504.053088006011</v>
      </c>
      <c r="E40" s="146">
        <f>epargne_mensuelle!F40</f>
        <v>0</v>
      </c>
      <c r="F40" s="93">
        <f t="shared" si="66"/>
        <v>53896.122141858199</v>
      </c>
      <c r="G40" s="93">
        <f t="shared" si="67"/>
        <v>0</v>
      </c>
      <c r="H40" s="146">
        <f>epargne_mensuelle!G40</f>
        <v>0</v>
      </c>
      <c r="I40" s="93">
        <f t="shared" si="68"/>
        <v>61405.679901492833</v>
      </c>
      <c r="J40" s="93">
        <f t="shared" si="69"/>
        <v>5834.3344610803006</v>
      </c>
      <c r="K40" s="146">
        <f>epargne_mensuelle!H40</f>
        <v>0</v>
      </c>
      <c r="L40" s="93">
        <f t="shared" si="70"/>
        <v>52255.953322425259</v>
      </c>
      <c r="M40" s="93">
        <f t="shared" si="71"/>
        <v>2022.1426640830218</v>
      </c>
      <c r="N40" s="146">
        <f>epargne_mensuelle!I40</f>
        <v>0</v>
      </c>
      <c r="O40" s="93">
        <f t="shared" si="72"/>
        <v>45789.289714451981</v>
      </c>
      <c r="P40" s="93">
        <f t="shared" si="73"/>
        <v>723.96389040488316</v>
      </c>
      <c r="Q40" s="137">
        <f>epargne_mensuelle!J40</f>
        <v>0</v>
      </c>
      <c r="R40" s="93">
        <f t="shared" si="74"/>
        <v>70868.029341096699</v>
      </c>
      <c r="S40" s="93">
        <f t="shared" si="75"/>
        <v>5889.103975631012</v>
      </c>
      <c r="T40" s="137">
        <f>epargne_mensuelle!K40</f>
        <v>0</v>
      </c>
      <c r="U40" s="93">
        <f t="shared" si="76"/>
        <v>92020.86127216043</v>
      </c>
      <c r="V40" s="93">
        <f t="shared" si="77"/>
        <v>0</v>
      </c>
      <c r="W40" s="137">
        <f>epargne_mensuelle!L40</f>
        <v>0</v>
      </c>
      <c r="X40" s="93">
        <f t="shared" si="78"/>
        <v>92020.86127216043</v>
      </c>
      <c r="Y40" s="93">
        <f t="shared" si="79"/>
        <v>0</v>
      </c>
      <c r="Z40" s="137">
        <f>epargne_mensuelle!M40</f>
        <v>0</v>
      </c>
      <c r="AA40" s="93">
        <f t="shared" si="80"/>
        <v>92020.86127216043</v>
      </c>
      <c r="AB40" s="93">
        <f t="shared" si="81"/>
        <v>0</v>
      </c>
      <c r="AC40" s="137">
        <f>epargne_mensuelle!N40</f>
        <v>0</v>
      </c>
      <c r="AD40" s="93">
        <f t="shared" si="82"/>
        <v>92020.86127216043</v>
      </c>
      <c r="AE40" s="93">
        <f t="shared" si="83"/>
        <v>0</v>
      </c>
      <c r="AF40" s="137">
        <f>epargne_mensuelle!O40</f>
        <v>0</v>
      </c>
      <c r="AG40" s="93">
        <f t="shared" si="84"/>
        <v>92020.86127216043</v>
      </c>
      <c r="AH40" s="93">
        <f t="shared" si="85"/>
        <v>0</v>
      </c>
      <c r="AI40" s="137">
        <f>epargne_mensuelle!P40</f>
        <v>0</v>
      </c>
      <c r="AJ40" s="93">
        <f t="shared" si="86"/>
        <v>92020.86127216043</v>
      </c>
      <c r="AK40" s="93">
        <f t="shared" si="87"/>
        <v>0</v>
      </c>
      <c r="AL40" s="137">
        <f>epargne_mensuelle!Q40</f>
        <v>0</v>
      </c>
      <c r="AM40" s="93">
        <f t="shared" si="88"/>
        <v>92020.86127216043</v>
      </c>
      <c r="AN40" s="93">
        <f t="shared" si="89"/>
        <v>0</v>
      </c>
      <c r="AO40" s="137">
        <f>epargne_mensuelle!R40</f>
        <v>0</v>
      </c>
      <c r="AP40" s="93">
        <f t="shared" si="90"/>
        <v>92020.86127216043</v>
      </c>
      <c r="AQ40" s="93">
        <f t="shared" si="91"/>
        <v>0</v>
      </c>
      <c r="AR40" s="137">
        <f>epargne_mensuelle!S40</f>
        <v>0</v>
      </c>
      <c r="AS40" s="93">
        <f t="shared" si="92"/>
        <v>92020.86127216043</v>
      </c>
      <c r="AT40" s="93">
        <f t="shared" si="93"/>
        <v>0</v>
      </c>
      <c r="AU40" s="137">
        <f>epargne_mensuelle!T40</f>
        <v>0</v>
      </c>
      <c r="AV40" s="93">
        <f t="shared" si="94"/>
        <v>92020.86127216043</v>
      </c>
      <c r="AW40" s="93">
        <f t="shared" si="95"/>
        <v>0</v>
      </c>
      <c r="AX40" s="137">
        <f>epargne_mensuelle!U40</f>
        <v>0</v>
      </c>
      <c r="AY40" s="93">
        <f t="shared" si="96"/>
        <v>92020.86127216043</v>
      </c>
      <c r="AZ40" s="93">
        <f t="shared" si="97"/>
        <v>0</v>
      </c>
      <c r="BA40" s="137">
        <f>epargne_mensuelle!V40</f>
        <v>0</v>
      </c>
      <c r="BB40" s="93">
        <f t="shared" si="98"/>
        <v>92020.86127216043</v>
      </c>
      <c r="BC40" s="93">
        <f t="shared" si="99"/>
        <v>0</v>
      </c>
      <c r="BD40" s="137">
        <f>epargne_mensuelle!W40</f>
        <v>0</v>
      </c>
      <c r="BE40" s="93">
        <f t="shared" si="100"/>
        <v>92020.86127216043</v>
      </c>
      <c r="BF40" s="93">
        <f t="shared" si="101"/>
        <v>0</v>
      </c>
      <c r="BG40" s="137">
        <f>epargne_mensuelle!X40</f>
        <v>0</v>
      </c>
      <c r="BH40" s="93">
        <f t="shared" si="102"/>
        <v>92020.86127216043</v>
      </c>
      <c r="BI40" s="93">
        <f t="shared" si="103"/>
        <v>0</v>
      </c>
      <c r="BJ40" s="137">
        <f>epargne_mensuelle!Y40</f>
        <v>0</v>
      </c>
      <c r="BK40" s="93">
        <f t="shared" si="104"/>
        <v>92020.86127216043</v>
      </c>
      <c r="BL40" s="93">
        <f t="shared" si="105"/>
        <v>0</v>
      </c>
      <c r="BM40" s="137">
        <f>epargne_mensuelle!Z40</f>
        <v>0</v>
      </c>
      <c r="BN40" s="93">
        <f t="shared" si="106"/>
        <v>92020.86127216043</v>
      </c>
      <c r="BO40" s="93">
        <f t="shared" si="107"/>
        <v>0</v>
      </c>
      <c r="BP40" s="137">
        <f>epargne_mensuelle!AA40</f>
        <v>0</v>
      </c>
      <c r="BQ40" s="93">
        <f t="shared" si="108"/>
        <v>92020.86127216043</v>
      </c>
      <c r="BR40" s="93">
        <f t="shared" si="109"/>
        <v>0</v>
      </c>
      <c r="BS40" s="137">
        <f>epargne_mensuelle!AB40</f>
        <v>0</v>
      </c>
      <c r="BT40" s="93">
        <f t="shared" si="110"/>
        <v>92020.86127216043</v>
      </c>
      <c r="BU40" s="93">
        <f t="shared" si="111"/>
        <v>0</v>
      </c>
      <c r="BV40" s="94">
        <f>cumul_epargne!C40</f>
        <v>360000</v>
      </c>
      <c r="BW40" s="95">
        <f t="shared" si="112"/>
        <v>59973.598079205236</v>
      </c>
      <c r="BX40" s="134">
        <f t="shared" si="113"/>
        <v>419973.59807920526</v>
      </c>
      <c r="BY40" s="147"/>
      <c r="BZ40" s="135">
        <f t="shared" si="114"/>
        <v>419973.59807920526</v>
      </c>
      <c r="CA40" s="96">
        <f t="shared" si="115"/>
        <v>0.16659332799779233</v>
      </c>
      <c r="CB40" s="113">
        <f t="shared" si="116"/>
        <v>9.2572888211750592E-3</v>
      </c>
      <c r="CC40" s="119">
        <f t="shared" si="117"/>
        <v>40072.979435823319</v>
      </c>
      <c r="CD40" s="8" t="str">
        <f t="shared" si="118"/>
        <v>ACTIONNIRE39</v>
      </c>
    </row>
    <row r="41" spans="1:82" ht="18.5" thickBot="1" x14ac:dyDescent="0.45">
      <c r="A41" s="81">
        <f>epargne_mensuelle!A41</f>
        <v>40</v>
      </c>
      <c r="B41" s="81" t="str">
        <f>epargne_mensuelle!B41</f>
        <v>ACTIONNIRE40</v>
      </c>
      <c r="C41" s="146">
        <f>SUM(epargne_mensuelle!C41:E41)</f>
        <v>120000</v>
      </c>
      <c r="D41" s="93">
        <f t="shared" si="65"/>
        <v>15168.017696002005</v>
      </c>
      <c r="E41" s="146">
        <f>epargne_mensuelle!F41</f>
        <v>0</v>
      </c>
      <c r="F41" s="93">
        <f t="shared" si="66"/>
        <v>17965.374047286059</v>
      </c>
      <c r="G41" s="93">
        <f t="shared" si="67"/>
        <v>0</v>
      </c>
      <c r="H41" s="146">
        <f>epargne_mensuelle!G41</f>
        <v>0</v>
      </c>
      <c r="I41" s="93">
        <f t="shared" si="68"/>
        <v>20468.55996716427</v>
      </c>
      <c r="J41" s="93">
        <f t="shared" si="69"/>
        <v>1944.7781536934328</v>
      </c>
      <c r="K41" s="146">
        <f>epargne_mensuelle!H41</f>
        <v>0</v>
      </c>
      <c r="L41" s="93">
        <f t="shared" si="70"/>
        <v>17418.651107475082</v>
      </c>
      <c r="M41" s="93">
        <f t="shared" si="71"/>
        <v>674.04755469434042</v>
      </c>
      <c r="N41" s="146">
        <f>epargne_mensuelle!I41</f>
        <v>0</v>
      </c>
      <c r="O41" s="93">
        <f t="shared" si="72"/>
        <v>15263.096571483991</v>
      </c>
      <c r="P41" s="93">
        <f t="shared" si="73"/>
        <v>241.32129680162771</v>
      </c>
      <c r="Q41" s="137">
        <f>epargne_mensuelle!J41</f>
        <v>0</v>
      </c>
      <c r="R41" s="93">
        <f t="shared" si="74"/>
        <v>23622.676447032227</v>
      </c>
      <c r="S41" s="93">
        <f t="shared" si="75"/>
        <v>1963.0346585436703</v>
      </c>
      <c r="T41" s="137">
        <f>epargne_mensuelle!K41</f>
        <v>0</v>
      </c>
      <c r="U41" s="93">
        <f t="shared" si="76"/>
        <v>30673.620424053472</v>
      </c>
      <c r="V41" s="93">
        <f t="shared" si="77"/>
        <v>0</v>
      </c>
      <c r="W41" s="137">
        <f>epargne_mensuelle!L41</f>
        <v>0</v>
      </c>
      <c r="X41" s="93">
        <f t="shared" si="78"/>
        <v>30673.620424053472</v>
      </c>
      <c r="Y41" s="93">
        <f t="shared" si="79"/>
        <v>0</v>
      </c>
      <c r="Z41" s="137">
        <f>epargne_mensuelle!M41</f>
        <v>0</v>
      </c>
      <c r="AA41" s="93">
        <f t="shared" si="80"/>
        <v>30673.620424053472</v>
      </c>
      <c r="AB41" s="93">
        <f t="shared" si="81"/>
        <v>0</v>
      </c>
      <c r="AC41" s="137">
        <f>epargne_mensuelle!N41</f>
        <v>0</v>
      </c>
      <c r="AD41" s="93">
        <f t="shared" si="82"/>
        <v>30673.620424053472</v>
      </c>
      <c r="AE41" s="93">
        <f t="shared" si="83"/>
        <v>0</v>
      </c>
      <c r="AF41" s="137">
        <f>epargne_mensuelle!O41</f>
        <v>0</v>
      </c>
      <c r="AG41" s="93">
        <f t="shared" si="84"/>
        <v>30673.620424053472</v>
      </c>
      <c r="AH41" s="93">
        <f t="shared" si="85"/>
        <v>0</v>
      </c>
      <c r="AI41" s="137">
        <f>epargne_mensuelle!P41</f>
        <v>0</v>
      </c>
      <c r="AJ41" s="93">
        <f t="shared" si="86"/>
        <v>30673.620424053472</v>
      </c>
      <c r="AK41" s="93">
        <f t="shared" si="87"/>
        <v>0</v>
      </c>
      <c r="AL41" s="137">
        <f>epargne_mensuelle!Q41</f>
        <v>0</v>
      </c>
      <c r="AM41" s="93">
        <f t="shared" si="88"/>
        <v>30673.620424053472</v>
      </c>
      <c r="AN41" s="93">
        <f t="shared" si="89"/>
        <v>0</v>
      </c>
      <c r="AO41" s="137">
        <f>epargne_mensuelle!R41</f>
        <v>0</v>
      </c>
      <c r="AP41" s="93">
        <f t="shared" si="90"/>
        <v>30673.620424053472</v>
      </c>
      <c r="AQ41" s="93">
        <f t="shared" si="91"/>
        <v>0</v>
      </c>
      <c r="AR41" s="137">
        <f>epargne_mensuelle!S41</f>
        <v>0</v>
      </c>
      <c r="AS41" s="93">
        <f t="shared" si="92"/>
        <v>30673.620424053472</v>
      </c>
      <c r="AT41" s="93">
        <f t="shared" si="93"/>
        <v>0</v>
      </c>
      <c r="AU41" s="137">
        <f>epargne_mensuelle!T41</f>
        <v>0</v>
      </c>
      <c r="AV41" s="93">
        <f t="shared" si="94"/>
        <v>30673.620424053472</v>
      </c>
      <c r="AW41" s="93">
        <f t="shared" si="95"/>
        <v>0</v>
      </c>
      <c r="AX41" s="137">
        <f>epargne_mensuelle!U41</f>
        <v>0</v>
      </c>
      <c r="AY41" s="93">
        <f t="shared" si="96"/>
        <v>30673.620424053472</v>
      </c>
      <c r="AZ41" s="93">
        <f t="shared" si="97"/>
        <v>0</v>
      </c>
      <c r="BA41" s="137">
        <f>epargne_mensuelle!V41</f>
        <v>0</v>
      </c>
      <c r="BB41" s="93">
        <f t="shared" si="98"/>
        <v>30673.620424053472</v>
      </c>
      <c r="BC41" s="93">
        <f t="shared" si="99"/>
        <v>0</v>
      </c>
      <c r="BD41" s="137">
        <f>epargne_mensuelle!W41</f>
        <v>0</v>
      </c>
      <c r="BE41" s="93">
        <f t="shared" si="100"/>
        <v>30673.620424053472</v>
      </c>
      <c r="BF41" s="93">
        <f t="shared" si="101"/>
        <v>0</v>
      </c>
      <c r="BG41" s="137">
        <f>epargne_mensuelle!X41</f>
        <v>0</v>
      </c>
      <c r="BH41" s="93">
        <f t="shared" si="102"/>
        <v>30673.620424053472</v>
      </c>
      <c r="BI41" s="93">
        <f t="shared" si="103"/>
        <v>0</v>
      </c>
      <c r="BJ41" s="137">
        <f>epargne_mensuelle!Y41</f>
        <v>0</v>
      </c>
      <c r="BK41" s="93">
        <f t="shared" si="104"/>
        <v>30673.620424053472</v>
      </c>
      <c r="BL41" s="93">
        <f t="shared" si="105"/>
        <v>0</v>
      </c>
      <c r="BM41" s="137">
        <f>epargne_mensuelle!Z41</f>
        <v>0</v>
      </c>
      <c r="BN41" s="93">
        <f t="shared" si="106"/>
        <v>30673.620424053472</v>
      </c>
      <c r="BO41" s="93">
        <f t="shared" si="107"/>
        <v>0</v>
      </c>
      <c r="BP41" s="137">
        <f>epargne_mensuelle!AA41</f>
        <v>0</v>
      </c>
      <c r="BQ41" s="93">
        <f t="shared" si="108"/>
        <v>30673.620424053472</v>
      </c>
      <c r="BR41" s="93">
        <f t="shared" si="109"/>
        <v>0</v>
      </c>
      <c r="BS41" s="137">
        <f>epargne_mensuelle!AB41</f>
        <v>0</v>
      </c>
      <c r="BT41" s="93">
        <f t="shared" si="110"/>
        <v>30673.620424053472</v>
      </c>
      <c r="BU41" s="93">
        <f t="shared" si="111"/>
        <v>0</v>
      </c>
      <c r="BV41" s="94">
        <f>cumul_epargne!C41</f>
        <v>120000</v>
      </c>
      <c r="BW41" s="95">
        <f t="shared" si="112"/>
        <v>19991.199359735077</v>
      </c>
      <c r="BX41" s="134">
        <f t="shared" si="113"/>
        <v>139991.19935973507</v>
      </c>
      <c r="BY41" s="147"/>
      <c r="BZ41" s="135">
        <f t="shared" si="114"/>
        <v>139991.19935973507</v>
      </c>
      <c r="CA41" s="96">
        <f t="shared" si="115"/>
        <v>0.16659332799779231</v>
      </c>
      <c r="CB41" s="113">
        <f t="shared" si="116"/>
        <v>3.0857629403916861E-3</v>
      </c>
      <c r="CC41" s="119">
        <f t="shared" si="117"/>
        <v>13357.659811941106</v>
      </c>
      <c r="CD41" s="8" t="str">
        <f t="shared" si="118"/>
        <v>ACTIONNIRE40</v>
      </c>
    </row>
    <row r="42" spans="1:82" ht="18.5" thickBot="1" x14ac:dyDescent="0.45">
      <c r="A42" s="81">
        <f>epargne_mensuelle!A42</f>
        <v>41</v>
      </c>
      <c r="B42" s="81" t="str">
        <f>epargne_mensuelle!B42</f>
        <v>ACTIONNIRE41</v>
      </c>
      <c r="C42" s="146">
        <f>SUM(epargne_mensuelle!C42:E42)</f>
        <v>0</v>
      </c>
      <c r="D42" s="93">
        <f t="shared" si="65"/>
        <v>0</v>
      </c>
      <c r="E42" s="146">
        <f>epargne_mensuelle!F42</f>
        <v>0</v>
      </c>
      <c r="F42" s="93">
        <f t="shared" si="66"/>
        <v>0</v>
      </c>
      <c r="G42" s="93">
        <f t="shared" si="67"/>
        <v>0</v>
      </c>
      <c r="H42" s="146">
        <f>epargne_mensuelle!G42</f>
        <v>0</v>
      </c>
      <c r="I42" s="93">
        <f t="shared" si="68"/>
        <v>0</v>
      </c>
      <c r="J42" s="93">
        <f t="shared" si="69"/>
        <v>0</v>
      </c>
      <c r="K42" s="146">
        <f>epargne_mensuelle!H42</f>
        <v>0</v>
      </c>
      <c r="L42" s="93">
        <f t="shared" si="70"/>
        <v>0</v>
      </c>
      <c r="M42" s="93">
        <f t="shared" si="71"/>
        <v>0</v>
      </c>
      <c r="N42" s="146">
        <f>epargne_mensuelle!I42</f>
        <v>0</v>
      </c>
      <c r="O42" s="93">
        <f t="shared" si="72"/>
        <v>0</v>
      </c>
      <c r="P42" s="93">
        <f t="shared" si="73"/>
        <v>0</v>
      </c>
      <c r="Q42" s="137">
        <f>epargne_mensuelle!J42</f>
        <v>120000</v>
      </c>
      <c r="R42" s="93">
        <f t="shared" si="74"/>
        <v>120000</v>
      </c>
      <c r="S42" s="93">
        <f t="shared" si="75"/>
        <v>9971.9504499599116</v>
      </c>
      <c r="T42" s="137">
        <f>epargne_mensuelle!K42</f>
        <v>0</v>
      </c>
      <c r="U42" s="93">
        <f t="shared" si="76"/>
        <v>101689.37730420315</v>
      </c>
      <c r="V42" s="93">
        <f t="shared" si="77"/>
        <v>0</v>
      </c>
      <c r="W42" s="137">
        <f>epargne_mensuelle!L42</f>
        <v>0</v>
      </c>
      <c r="X42" s="93">
        <f t="shared" si="78"/>
        <v>101689.37730420315</v>
      </c>
      <c r="Y42" s="93">
        <f t="shared" si="79"/>
        <v>0</v>
      </c>
      <c r="Z42" s="137">
        <f>epargne_mensuelle!M42</f>
        <v>0</v>
      </c>
      <c r="AA42" s="93">
        <f t="shared" si="80"/>
        <v>101689.37730420315</v>
      </c>
      <c r="AB42" s="93">
        <f t="shared" si="81"/>
        <v>0</v>
      </c>
      <c r="AC42" s="137">
        <f>epargne_mensuelle!N42</f>
        <v>0</v>
      </c>
      <c r="AD42" s="93">
        <f t="shared" si="82"/>
        <v>101689.37730420315</v>
      </c>
      <c r="AE42" s="93">
        <f t="shared" si="83"/>
        <v>0</v>
      </c>
      <c r="AF42" s="137">
        <f>epargne_mensuelle!O42</f>
        <v>0</v>
      </c>
      <c r="AG42" s="93">
        <f t="shared" si="84"/>
        <v>101689.37730420315</v>
      </c>
      <c r="AH42" s="93">
        <f t="shared" si="85"/>
        <v>0</v>
      </c>
      <c r="AI42" s="137">
        <f>epargne_mensuelle!P42</f>
        <v>0</v>
      </c>
      <c r="AJ42" s="93">
        <f t="shared" si="86"/>
        <v>101689.37730420315</v>
      </c>
      <c r="AK42" s="93">
        <f t="shared" si="87"/>
        <v>0</v>
      </c>
      <c r="AL42" s="137">
        <f>epargne_mensuelle!Q42</f>
        <v>0</v>
      </c>
      <c r="AM42" s="93">
        <f t="shared" si="88"/>
        <v>101689.37730420315</v>
      </c>
      <c r="AN42" s="93">
        <f t="shared" si="89"/>
        <v>0</v>
      </c>
      <c r="AO42" s="137">
        <f>epargne_mensuelle!R42</f>
        <v>0</v>
      </c>
      <c r="AP42" s="93">
        <f t="shared" si="90"/>
        <v>101689.37730420315</v>
      </c>
      <c r="AQ42" s="93">
        <f t="shared" si="91"/>
        <v>0</v>
      </c>
      <c r="AR42" s="137">
        <f>epargne_mensuelle!S42</f>
        <v>0</v>
      </c>
      <c r="AS42" s="93">
        <f t="shared" si="92"/>
        <v>101689.37730420315</v>
      </c>
      <c r="AT42" s="93">
        <f t="shared" si="93"/>
        <v>0</v>
      </c>
      <c r="AU42" s="137">
        <f>epargne_mensuelle!T42</f>
        <v>0</v>
      </c>
      <c r="AV42" s="93">
        <f t="shared" si="94"/>
        <v>101689.37730420315</v>
      </c>
      <c r="AW42" s="93">
        <f t="shared" si="95"/>
        <v>0</v>
      </c>
      <c r="AX42" s="137">
        <f>epargne_mensuelle!U42</f>
        <v>0</v>
      </c>
      <c r="AY42" s="93">
        <f t="shared" si="96"/>
        <v>101689.37730420315</v>
      </c>
      <c r="AZ42" s="93">
        <f t="shared" si="97"/>
        <v>0</v>
      </c>
      <c r="BA42" s="137">
        <f>epargne_mensuelle!V42</f>
        <v>0</v>
      </c>
      <c r="BB42" s="93">
        <f t="shared" si="98"/>
        <v>101689.37730420315</v>
      </c>
      <c r="BC42" s="93">
        <f t="shared" si="99"/>
        <v>0</v>
      </c>
      <c r="BD42" s="137">
        <f>epargne_mensuelle!W42</f>
        <v>0</v>
      </c>
      <c r="BE42" s="93">
        <f t="shared" si="100"/>
        <v>101689.37730420315</v>
      </c>
      <c r="BF42" s="93">
        <f t="shared" si="101"/>
        <v>0</v>
      </c>
      <c r="BG42" s="137">
        <f>epargne_mensuelle!X42</f>
        <v>0</v>
      </c>
      <c r="BH42" s="93">
        <f t="shared" si="102"/>
        <v>101689.37730420315</v>
      </c>
      <c r="BI42" s="93">
        <f t="shared" si="103"/>
        <v>0</v>
      </c>
      <c r="BJ42" s="137">
        <f>epargne_mensuelle!Y42</f>
        <v>0</v>
      </c>
      <c r="BK42" s="93">
        <f t="shared" si="104"/>
        <v>101689.37730420315</v>
      </c>
      <c r="BL42" s="93">
        <f t="shared" si="105"/>
        <v>0</v>
      </c>
      <c r="BM42" s="137">
        <f>epargne_mensuelle!Z42</f>
        <v>0</v>
      </c>
      <c r="BN42" s="93">
        <f t="shared" si="106"/>
        <v>101689.37730420315</v>
      </c>
      <c r="BO42" s="93">
        <f t="shared" si="107"/>
        <v>0</v>
      </c>
      <c r="BP42" s="137">
        <f>epargne_mensuelle!AA42</f>
        <v>0</v>
      </c>
      <c r="BQ42" s="93">
        <f t="shared" si="108"/>
        <v>101689.37730420315</v>
      </c>
      <c r="BR42" s="93">
        <f t="shared" si="109"/>
        <v>0</v>
      </c>
      <c r="BS42" s="137">
        <f>epargne_mensuelle!AB42</f>
        <v>0</v>
      </c>
      <c r="BT42" s="93">
        <f t="shared" si="110"/>
        <v>101689.37730420315</v>
      </c>
      <c r="BU42" s="93">
        <f t="shared" si="111"/>
        <v>0</v>
      </c>
      <c r="BV42" s="94">
        <f>cumul_epargne!C42</f>
        <v>120000</v>
      </c>
      <c r="BW42" s="95">
        <f t="shared" si="112"/>
        <v>9971.9504499599116</v>
      </c>
      <c r="BX42" s="134">
        <f t="shared" si="113"/>
        <v>129971.95044995991</v>
      </c>
      <c r="BY42" s="147"/>
      <c r="BZ42" s="135">
        <f t="shared" si="114"/>
        <v>129971.95044995991</v>
      </c>
      <c r="CA42" s="96">
        <f t="shared" si="115"/>
        <v>8.3099587082999263E-2</v>
      </c>
      <c r="CB42" s="113">
        <f t="shared" si="116"/>
        <v>2.8649131504209853E-3</v>
      </c>
      <c r="CC42" s="119">
        <f t="shared" si="117"/>
        <v>12401.644582983561</v>
      </c>
      <c r="CD42" s="8" t="str">
        <f t="shared" si="118"/>
        <v>ACTIONNIRE41</v>
      </c>
    </row>
    <row r="43" spans="1:82" ht="18.5" thickBot="1" x14ac:dyDescent="0.45">
      <c r="A43" s="81">
        <f>epargne_mensuelle!A43</f>
        <v>0</v>
      </c>
      <c r="B43" s="81">
        <f>epargne_mensuelle!B43</f>
        <v>0</v>
      </c>
      <c r="C43" s="146">
        <f>SUM(epargne_mensuelle!C43:E43)</f>
        <v>0</v>
      </c>
      <c r="D43" s="93">
        <f t="shared" si="65"/>
        <v>0</v>
      </c>
      <c r="E43" s="146">
        <f>epargne_mensuelle!F43</f>
        <v>0</v>
      </c>
      <c r="F43" s="93">
        <f t="shared" si="66"/>
        <v>0</v>
      </c>
      <c r="G43" s="93">
        <f t="shared" si="67"/>
        <v>0</v>
      </c>
      <c r="H43" s="146">
        <f>epargne_mensuelle!G43</f>
        <v>0</v>
      </c>
      <c r="I43" s="93">
        <f t="shared" si="68"/>
        <v>0</v>
      </c>
      <c r="J43" s="93">
        <f t="shared" si="69"/>
        <v>0</v>
      </c>
      <c r="K43" s="146">
        <f>epargne_mensuelle!H43</f>
        <v>0</v>
      </c>
      <c r="L43" s="93">
        <f t="shared" si="70"/>
        <v>0</v>
      </c>
      <c r="M43" s="93">
        <f t="shared" si="71"/>
        <v>0</v>
      </c>
      <c r="N43" s="146">
        <f>epargne_mensuelle!I43</f>
        <v>0</v>
      </c>
      <c r="O43" s="93">
        <f t="shared" si="72"/>
        <v>0</v>
      </c>
      <c r="P43" s="93">
        <f t="shared" si="73"/>
        <v>0</v>
      </c>
      <c r="Q43" s="137">
        <f>epargne_mensuelle!J43</f>
        <v>0</v>
      </c>
      <c r="R43" s="93">
        <f t="shared" si="74"/>
        <v>0</v>
      </c>
      <c r="S43" s="93">
        <f t="shared" si="75"/>
        <v>0</v>
      </c>
      <c r="T43" s="137">
        <f>epargne_mensuelle!K43</f>
        <v>0</v>
      </c>
      <c r="U43" s="93">
        <f t="shared" si="76"/>
        <v>0</v>
      </c>
      <c r="V43" s="93">
        <f t="shared" si="77"/>
        <v>0</v>
      </c>
      <c r="W43" s="137">
        <f>epargne_mensuelle!L43</f>
        <v>0</v>
      </c>
      <c r="X43" s="93">
        <f t="shared" si="78"/>
        <v>0</v>
      </c>
      <c r="Y43" s="93">
        <f t="shared" si="79"/>
        <v>0</v>
      </c>
      <c r="Z43" s="137">
        <f>epargne_mensuelle!M43</f>
        <v>0</v>
      </c>
      <c r="AA43" s="93">
        <f t="shared" si="80"/>
        <v>0</v>
      </c>
      <c r="AB43" s="93">
        <f t="shared" si="81"/>
        <v>0</v>
      </c>
      <c r="AC43" s="137">
        <f>epargne_mensuelle!N43</f>
        <v>0</v>
      </c>
      <c r="AD43" s="93">
        <f t="shared" si="82"/>
        <v>0</v>
      </c>
      <c r="AE43" s="93">
        <f t="shared" si="83"/>
        <v>0</v>
      </c>
      <c r="AF43" s="137">
        <f>epargne_mensuelle!O43</f>
        <v>0</v>
      </c>
      <c r="AG43" s="93">
        <f t="shared" si="84"/>
        <v>0</v>
      </c>
      <c r="AH43" s="93">
        <f t="shared" si="85"/>
        <v>0</v>
      </c>
      <c r="AI43" s="137">
        <f>epargne_mensuelle!P43</f>
        <v>0</v>
      </c>
      <c r="AJ43" s="93">
        <f t="shared" si="86"/>
        <v>0</v>
      </c>
      <c r="AK43" s="93">
        <f t="shared" si="87"/>
        <v>0</v>
      </c>
      <c r="AL43" s="137">
        <f>epargne_mensuelle!Q43</f>
        <v>0</v>
      </c>
      <c r="AM43" s="93">
        <f t="shared" si="88"/>
        <v>0</v>
      </c>
      <c r="AN43" s="93">
        <f t="shared" si="89"/>
        <v>0</v>
      </c>
      <c r="AO43" s="137">
        <f>epargne_mensuelle!R43</f>
        <v>0</v>
      </c>
      <c r="AP43" s="93">
        <f t="shared" si="90"/>
        <v>0</v>
      </c>
      <c r="AQ43" s="93">
        <f t="shared" si="91"/>
        <v>0</v>
      </c>
      <c r="AR43" s="137">
        <f>epargne_mensuelle!S43</f>
        <v>0</v>
      </c>
      <c r="AS43" s="93">
        <f t="shared" si="92"/>
        <v>0</v>
      </c>
      <c r="AT43" s="93">
        <f t="shared" si="93"/>
        <v>0</v>
      </c>
      <c r="AU43" s="137">
        <f>epargne_mensuelle!T43</f>
        <v>0</v>
      </c>
      <c r="AV43" s="93">
        <f t="shared" si="94"/>
        <v>0</v>
      </c>
      <c r="AW43" s="93">
        <f t="shared" si="95"/>
        <v>0</v>
      </c>
      <c r="AX43" s="137">
        <f>epargne_mensuelle!U43</f>
        <v>0</v>
      </c>
      <c r="AY43" s="93">
        <f t="shared" si="96"/>
        <v>0</v>
      </c>
      <c r="AZ43" s="93">
        <f t="shared" si="97"/>
        <v>0</v>
      </c>
      <c r="BA43" s="137">
        <f>epargne_mensuelle!V43</f>
        <v>0</v>
      </c>
      <c r="BB43" s="93">
        <f t="shared" si="98"/>
        <v>0</v>
      </c>
      <c r="BC43" s="93">
        <f t="shared" si="99"/>
        <v>0</v>
      </c>
      <c r="BD43" s="137">
        <f>epargne_mensuelle!W43</f>
        <v>0</v>
      </c>
      <c r="BE43" s="93">
        <f t="shared" si="100"/>
        <v>0</v>
      </c>
      <c r="BF43" s="93">
        <f t="shared" si="101"/>
        <v>0</v>
      </c>
      <c r="BG43" s="137">
        <f>epargne_mensuelle!X43</f>
        <v>0</v>
      </c>
      <c r="BH43" s="93">
        <f t="shared" si="102"/>
        <v>0</v>
      </c>
      <c r="BI43" s="93">
        <f t="shared" si="103"/>
        <v>0</v>
      </c>
      <c r="BJ43" s="137">
        <f>epargne_mensuelle!Y43</f>
        <v>0</v>
      </c>
      <c r="BK43" s="93">
        <f t="shared" si="104"/>
        <v>0</v>
      </c>
      <c r="BL43" s="93">
        <f t="shared" si="105"/>
        <v>0</v>
      </c>
      <c r="BM43" s="137">
        <f>epargne_mensuelle!Z43</f>
        <v>0</v>
      </c>
      <c r="BN43" s="93">
        <f t="shared" si="106"/>
        <v>0</v>
      </c>
      <c r="BO43" s="93">
        <f t="shared" si="107"/>
        <v>0</v>
      </c>
      <c r="BP43" s="137">
        <f>epargne_mensuelle!AA43</f>
        <v>0</v>
      </c>
      <c r="BQ43" s="93">
        <f t="shared" si="108"/>
        <v>0</v>
      </c>
      <c r="BR43" s="93">
        <f t="shared" si="109"/>
        <v>0</v>
      </c>
      <c r="BS43" s="137">
        <f>epargne_mensuelle!AB43</f>
        <v>0</v>
      </c>
      <c r="BT43" s="93">
        <f t="shared" si="110"/>
        <v>0</v>
      </c>
      <c r="BU43" s="93">
        <f t="shared" si="111"/>
        <v>0</v>
      </c>
      <c r="BV43" s="94" t="str">
        <f>cumul_epargne!C43</f>
        <v/>
      </c>
      <c r="BW43" s="95">
        <f t="shared" si="112"/>
        <v>0</v>
      </c>
      <c r="BX43" s="134">
        <f t="shared" si="113"/>
        <v>0</v>
      </c>
      <c r="BY43" s="147"/>
      <c r="BZ43" s="135">
        <f t="shared" si="114"/>
        <v>0</v>
      </c>
      <c r="CA43" s="96" t="str">
        <f t="shared" si="115"/>
        <v/>
      </c>
      <c r="CB43" s="113">
        <f t="shared" si="116"/>
        <v>0</v>
      </c>
      <c r="CC43" s="119">
        <f t="shared" si="117"/>
        <v>0</v>
      </c>
      <c r="CD43" s="8">
        <f t="shared" si="118"/>
        <v>0</v>
      </c>
    </row>
    <row r="44" spans="1:82" ht="18.5" thickBot="1" x14ac:dyDescent="0.45">
      <c r="A44" s="81">
        <f>epargne_mensuelle!A44</f>
        <v>0</v>
      </c>
      <c r="B44" s="81">
        <f>epargne_mensuelle!B44</f>
        <v>0</v>
      </c>
      <c r="C44" s="146">
        <f>SUM(epargne_mensuelle!C44:E44)</f>
        <v>0</v>
      </c>
      <c r="D44" s="93">
        <f t="shared" si="65"/>
        <v>0</v>
      </c>
      <c r="E44" s="146">
        <f>epargne_mensuelle!F44</f>
        <v>0</v>
      </c>
      <c r="F44" s="93">
        <f t="shared" si="66"/>
        <v>0</v>
      </c>
      <c r="G44" s="93">
        <f t="shared" si="67"/>
        <v>0</v>
      </c>
      <c r="H44" s="146">
        <f>epargne_mensuelle!G44</f>
        <v>0</v>
      </c>
      <c r="I44" s="93">
        <f t="shared" si="68"/>
        <v>0</v>
      </c>
      <c r="J44" s="93">
        <f t="shared" si="69"/>
        <v>0</v>
      </c>
      <c r="K44" s="146">
        <f>epargne_mensuelle!H44</f>
        <v>0</v>
      </c>
      <c r="L44" s="93">
        <f t="shared" si="70"/>
        <v>0</v>
      </c>
      <c r="M44" s="93">
        <f t="shared" si="71"/>
        <v>0</v>
      </c>
      <c r="N44" s="146">
        <f>epargne_mensuelle!I44</f>
        <v>0</v>
      </c>
      <c r="O44" s="93">
        <f t="shared" si="72"/>
        <v>0</v>
      </c>
      <c r="P44" s="93">
        <f t="shared" si="73"/>
        <v>0</v>
      </c>
      <c r="Q44" s="137">
        <f>epargne_mensuelle!J44</f>
        <v>0</v>
      </c>
      <c r="R44" s="93">
        <f t="shared" si="74"/>
        <v>0</v>
      </c>
      <c r="S44" s="93">
        <f t="shared" si="75"/>
        <v>0</v>
      </c>
      <c r="T44" s="137">
        <f>epargne_mensuelle!K44</f>
        <v>0</v>
      </c>
      <c r="U44" s="93">
        <f t="shared" si="76"/>
        <v>0</v>
      </c>
      <c r="V44" s="93">
        <f t="shared" si="77"/>
        <v>0</v>
      </c>
      <c r="W44" s="137">
        <f>epargne_mensuelle!L44</f>
        <v>0</v>
      </c>
      <c r="X44" s="93">
        <f t="shared" si="78"/>
        <v>0</v>
      </c>
      <c r="Y44" s="93">
        <f t="shared" si="79"/>
        <v>0</v>
      </c>
      <c r="Z44" s="137">
        <f>epargne_mensuelle!M44</f>
        <v>0</v>
      </c>
      <c r="AA44" s="93">
        <f t="shared" si="80"/>
        <v>0</v>
      </c>
      <c r="AB44" s="93">
        <f t="shared" si="81"/>
        <v>0</v>
      </c>
      <c r="AC44" s="137">
        <f>epargne_mensuelle!N44</f>
        <v>0</v>
      </c>
      <c r="AD44" s="93">
        <f t="shared" si="82"/>
        <v>0</v>
      </c>
      <c r="AE44" s="93">
        <f t="shared" si="83"/>
        <v>0</v>
      </c>
      <c r="AF44" s="137">
        <f>epargne_mensuelle!O44</f>
        <v>0</v>
      </c>
      <c r="AG44" s="93">
        <f t="shared" si="84"/>
        <v>0</v>
      </c>
      <c r="AH44" s="93">
        <f t="shared" si="85"/>
        <v>0</v>
      </c>
      <c r="AI44" s="137">
        <f>epargne_mensuelle!P44</f>
        <v>0</v>
      </c>
      <c r="AJ44" s="93">
        <f t="shared" si="86"/>
        <v>0</v>
      </c>
      <c r="AK44" s="93">
        <f t="shared" si="87"/>
        <v>0</v>
      </c>
      <c r="AL44" s="137">
        <f>epargne_mensuelle!Q44</f>
        <v>0</v>
      </c>
      <c r="AM44" s="93">
        <f t="shared" si="88"/>
        <v>0</v>
      </c>
      <c r="AN44" s="93">
        <f t="shared" si="89"/>
        <v>0</v>
      </c>
      <c r="AO44" s="137">
        <f>epargne_mensuelle!R44</f>
        <v>0</v>
      </c>
      <c r="AP44" s="93">
        <f t="shared" si="90"/>
        <v>0</v>
      </c>
      <c r="AQ44" s="93">
        <f t="shared" si="91"/>
        <v>0</v>
      </c>
      <c r="AR44" s="137">
        <f>epargne_mensuelle!S44</f>
        <v>0</v>
      </c>
      <c r="AS44" s="93">
        <f t="shared" si="92"/>
        <v>0</v>
      </c>
      <c r="AT44" s="93">
        <f t="shared" si="93"/>
        <v>0</v>
      </c>
      <c r="AU44" s="137">
        <f>epargne_mensuelle!T44</f>
        <v>0</v>
      </c>
      <c r="AV44" s="93">
        <f t="shared" si="94"/>
        <v>0</v>
      </c>
      <c r="AW44" s="93">
        <f t="shared" si="95"/>
        <v>0</v>
      </c>
      <c r="AX44" s="137">
        <f>epargne_mensuelle!U44</f>
        <v>0</v>
      </c>
      <c r="AY44" s="93">
        <f t="shared" si="96"/>
        <v>0</v>
      </c>
      <c r="AZ44" s="93">
        <f t="shared" si="97"/>
        <v>0</v>
      </c>
      <c r="BA44" s="137">
        <f>epargne_mensuelle!V44</f>
        <v>0</v>
      </c>
      <c r="BB44" s="93">
        <f t="shared" si="98"/>
        <v>0</v>
      </c>
      <c r="BC44" s="93">
        <f t="shared" si="99"/>
        <v>0</v>
      </c>
      <c r="BD44" s="137">
        <f>epargne_mensuelle!W44</f>
        <v>0</v>
      </c>
      <c r="BE44" s="93">
        <f t="shared" si="100"/>
        <v>0</v>
      </c>
      <c r="BF44" s="93">
        <f t="shared" si="101"/>
        <v>0</v>
      </c>
      <c r="BG44" s="137">
        <f>epargne_mensuelle!X44</f>
        <v>0</v>
      </c>
      <c r="BH44" s="93">
        <f t="shared" si="102"/>
        <v>0</v>
      </c>
      <c r="BI44" s="93">
        <f t="shared" si="103"/>
        <v>0</v>
      </c>
      <c r="BJ44" s="137">
        <f>epargne_mensuelle!Y44</f>
        <v>0</v>
      </c>
      <c r="BK44" s="93">
        <f t="shared" si="104"/>
        <v>0</v>
      </c>
      <c r="BL44" s="93">
        <f t="shared" si="105"/>
        <v>0</v>
      </c>
      <c r="BM44" s="137">
        <f>epargne_mensuelle!Z44</f>
        <v>0</v>
      </c>
      <c r="BN44" s="93">
        <f t="shared" si="106"/>
        <v>0</v>
      </c>
      <c r="BO44" s="93">
        <f t="shared" si="107"/>
        <v>0</v>
      </c>
      <c r="BP44" s="137">
        <f>epargne_mensuelle!AA44</f>
        <v>0</v>
      </c>
      <c r="BQ44" s="93">
        <f t="shared" si="108"/>
        <v>0</v>
      </c>
      <c r="BR44" s="93">
        <f t="shared" si="109"/>
        <v>0</v>
      </c>
      <c r="BS44" s="137">
        <f>epargne_mensuelle!AB44</f>
        <v>0</v>
      </c>
      <c r="BT44" s="93">
        <f t="shared" si="110"/>
        <v>0</v>
      </c>
      <c r="BU44" s="93">
        <f t="shared" si="111"/>
        <v>0</v>
      </c>
      <c r="BV44" s="94" t="str">
        <f>cumul_epargne!C44</f>
        <v/>
      </c>
      <c r="BW44" s="95">
        <f t="shared" si="112"/>
        <v>0</v>
      </c>
      <c r="BX44" s="134">
        <f t="shared" si="113"/>
        <v>0</v>
      </c>
      <c r="BY44" s="147"/>
      <c r="BZ44" s="135">
        <f t="shared" si="114"/>
        <v>0</v>
      </c>
      <c r="CA44" s="96" t="str">
        <f t="shared" si="115"/>
        <v/>
      </c>
      <c r="CB44" s="113">
        <f t="shared" si="116"/>
        <v>0</v>
      </c>
      <c r="CC44" s="119">
        <f t="shared" si="117"/>
        <v>0</v>
      </c>
      <c r="CD44" s="8">
        <f t="shared" si="118"/>
        <v>0</v>
      </c>
    </row>
    <row r="45" spans="1:82" ht="18.5" thickBot="1" x14ac:dyDescent="0.45">
      <c r="A45" s="81">
        <f>epargne_mensuelle!A45</f>
        <v>0</v>
      </c>
      <c r="B45" s="81">
        <f>epargne_mensuelle!B45</f>
        <v>0</v>
      </c>
      <c r="C45" s="146">
        <f>SUM(epargne_mensuelle!C45:E45)</f>
        <v>0</v>
      </c>
      <c r="D45" s="93">
        <f t="shared" si="65"/>
        <v>0</v>
      </c>
      <c r="E45" s="146">
        <f>epargne_mensuelle!F45</f>
        <v>0</v>
      </c>
      <c r="F45" s="93">
        <f t="shared" si="66"/>
        <v>0</v>
      </c>
      <c r="G45" s="93">
        <f t="shared" si="67"/>
        <v>0</v>
      </c>
      <c r="H45" s="146">
        <f>epargne_mensuelle!G45</f>
        <v>0</v>
      </c>
      <c r="I45" s="93">
        <f t="shared" si="68"/>
        <v>0</v>
      </c>
      <c r="J45" s="93">
        <f t="shared" si="69"/>
        <v>0</v>
      </c>
      <c r="K45" s="146">
        <f>epargne_mensuelle!H45</f>
        <v>0</v>
      </c>
      <c r="L45" s="93">
        <f t="shared" si="70"/>
        <v>0</v>
      </c>
      <c r="M45" s="93">
        <f t="shared" si="71"/>
        <v>0</v>
      </c>
      <c r="N45" s="146">
        <f>epargne_mensuelle!I45</f>
        <v>0</v>
      </c>
      <c r="O45" s="93">
        <f t="shared" si="72"/>
        <v>0</v>
      </c>
      <c r="P45" s="93">
        <f t="shared" si="73"/>
        <v>0</v>
      </c>
      <c r="Q45" s="137">
        <f>epargne_mensuelle!J45</f>
        <v>0</v>
      </c>
      <c r="R45" s="93">
        <f t="shared" si="74"/>
        <v>0</v>
      </c>
      <c r="S45" s="93">
        <f t="shared" si="75"/>
        <v>0</v>
      </c>
      <c r="T45" s="137">
        <f>epargne_mensuelle!K45</f>
        <v>0</v>
      </c>
      <c r="U45" s="93">
        <f t="shared" si="76"/>
        <v>0</v>
      </c>
      <c r="V45" s="93">
        <f t="shared" si="77"/>
        <v>0</v>
      </c>
      <c r="W45" s="137">
        <f>epargne_mensuelle!L45</f>
        <v>0</v>
      </c>
      <c r="X45" s="93">
        <f t="shared" si="78"/>
        <v>0</v>
      </c>
      <c r="Y45" s="93">
        <f t="shared" si="79"/>
        <v>0</v>
      </c>
      <c r="Z45" s="137">
        <f>epargne_mensuelle!M45</f>
        <v>0</v>
      </c>
      <c r="AA45" s="93">
        <f t="shared" si="80"/>
        <v>0</v>
      </c>
      <c r="AB45" s="93">
        <f t="shared" si="81"/>
        <v>0</v>
      </c>
      <c r="AC45" s="137">
        <f>epargne_mensuelle!N45</f>
        <v>0</v>
      </c>
      <c r="AD45" s="93">
        <f t="shared" si="82"/>
        <v>0</v>
      </c>
      <c r="AE45" s="93">
        <f t="shared" si="83"/>
        <v>0</v>
      </c>
      <c r="AF45" s="137">
        <f>epargne_mensuelle!O45</f>
        <v>0</v>
      </c>
      <c r="AG45" s="93">
        <f t="shared" si="84"/>
        <v>0</v>
      </c>
      <c r="AH45" s="93">
        <f t="shared" si="85"/>
        <v>0</v>
      </c>
      <c r="AI45" s="137">
        <f>epargne_mensuelle!P45</f>
        <v>0</v>
      </c>
      <c r="AJ45" s="93">
        <f t="shared" si="86"/>
        <v>0</v>
      </c>
      <c r="AK45" s="93">
        <f t="shared" si="87"/>
        <v>0</v>
      </c>
      <c r="AL45" s="137">
        <f>epargne_mensuelle!Q45</f>
        <v>0</v>
      </c>
      <c r="AM45" s="93">
        <f t="shared" si="88"/>
        <v>0</v>
      </c>
      <c r="AN45" s="93">
        <f t="shared" si="89"/>
        <v>0</v>
      </c>
      <c r="AO45" s="137">
        <f>epargne_mensuelle!R45</f>
        <v>0</v>
      </c>
      <c r="AP45" s="93">
        <f t="shared" si="90"/>
        <v>0</v>
      </c>
      <c r="AQ45" s="93">
        <f t="shared" si="91"/>
        <v>0</v>
      </c>
      <c r="AR45" s="137">
        <f>epargne_mensuelle!S45</f>
        <v>0</v>
      </c>
      <c r="AS45" s="93">
        <f t="shared" si="92"/>
        <v>0</v>
      </c>
      <c r="AT45" s="93">
        <f t="shared" si="93"/>
        <v>0</v>
      </c>
      <c r="AU45" s="137">
        <f>epargne_mensuelle!T45</f>
        <v>0</v>
      </c>
      <c r="AV45" s="93">
        <f t="shared" si="94"/>
        <v>0</v>
      </c>
      <c r="AW45" s="93">
        <f t="shared" si="95"/>
        <v>0</v>
      </c>
      <c r="AX45" s="137">
        <f>epargne_mensuelle!U45</f>
        <v>0</v>
      </c>
      <c r="AY45" s="93">
        <f t="shared" si="96"/>
        <v>0</v>
      </c>
      <c r="AZ45" s="93">
        <f t="shared" si="97"/>
        <v>0</v>
      </c>
      <c r="BA45" s="137">
        <f>epargne_mensuelle!V45</f>
        <v>0</v>
      </c>
      <c r="BB45" s="93">
        <f t="shared" si="98"/>
        <v>0</v>
      </c>
      <c r="BC45" s="93">
        <f t="shared" si="99"/>
        <v>0</v>
      </c>
      <c r="BD45" s="137">
        <f>epargne_mensuelle!W45</f>
        <v>0</v>
      </c>
      <c r="BE45" s="93">
        <f t="shared" si="100"/>
        <v>0</v>
      </c>
      <c r="BF45" s="93">
        <f t="shared" si="101"/>
        <v>0</v>
      </c>
      <c r="BG45" s="137">
        <f>epargne_mensuelle!X45</f>
        <v>0</v>
      </c>
      <c r="BH45" s="93">
        <f t="shared" si="102"/>
        <v>0</v>
      </c>
      <c r="BI45" s="93">
        <f t="shared" si="103"/>
        <v>0</v>
      </c>
      <c r="BJ45" s="137">
        <f>epargne_mensuelle!Y45</f>
        <v>0</v>
      </c>
      <c r="BK45" s="93">
        <f t="shared" si="104"/>
        <v>0</v>
      </c>
      <c r="BL45" s="93">
        <f t="shared" si="105"/>
        <v>0</v>
      </c>
      <c r="BM45" s="137">
        <f>epargne_mensuelle!Z45</f>
        <v>0</v>
      </c>
      <c r="BN45" s="93">
        <f t="shared" si="106"/>
        <v>0</v>
      </c>
      <c r="BO45" s="93">
        <f t="shared" si="107"/>
        <v>0</v>
      </c>
      <c r="BP45" s="137">
        <f>epargne_mensuelle!AA45</f>
        <v>0</v>
      </c>
      <c r="BQ45" s="93">
        <f t="shared" si="108"/>
        <v>0</v>
      </c>
      <c r="BR45" s="93">
        <f t="shared" si="109"/>
        <v>0</v>
      </c>
      <c r="BS45" s="137">
        <f>epargne_mensuelle!AB45</f>
        <v>0</v>
      </c>
      <c r="BT45" s="93">
        <f t="shared" si="110"/>
        <v>0</v>
      </c>
      <c r="BU45" s="93">
        <f t="shared" si="111"/>
        <v>0</v>
      </c>
      <c r="BV45" s="94" t="str">
        <f>cumul_epargne!C45</f>
        <v/>
      </c>
      <c r="BW45" s="95">
        <f t="shared" si="112"/>
        <v>0</v>
      </c>
      <c r="BX45" s="134">
        <f t="shared" si="113"/>
        <v>0</v>
      </c>
      <c r="BY45" s="147"/>
      <c r="BZ45" s="135">
        <f t="shared" si="114"/>
        <v>0</v>
      </c>
      <c r="CA45" s="96" t="str">
        <f t="shared" si="115"/>
        <v/>
      </c>
      <c r="CB45" s="113">
        <f t="shared" si="116"/>
        <v>0</v>
      </c>
      <c r="CC45" s="119">
        <f t="shared" si="117"/>
        <v>0</v>
      </c>
      <c r="CD45" s="8">
        <f t="shared" si="118"/>
        <v>0</v>
      </c>
    </row>
    <row r="46" spans="1:82" ht="18.5" thickBot="1" x14ac:dyDescent="0.45">
      <c r="A46" s="81">
        <f>epargne_mensuelle!A46</f>
        <v>0</v>
      </c>
      <c r="B46" s="81">
        <f>epargne_mensuelle!B46</f>
        <v>0</v>
      </c>
      <c r="C46" s="146">
        <f>SUM(epargne_mensuelle!C46:E46)</f>
        <v>0</v>
      </c>
      <c r="D46" s="93">
        <f t="shared" si="65"/>
        <v>0</v>
      </c>
      <c r="E46" s="146">
        <f>epargne_mensuelle!F46</f>
        <v>0</v>
      </c>
      <c r="F46" s="93">
        <f t="shared" si="66"/>
        <v>0</v>
      </c>
      <c r="G46" s="93">
        <f t="shared" si="67"/>
        <v>0</v>
      </c>
      <c r="H46" s="146">
        <f>epargne_mensuelle!G46</f>
        <v>0</v>
      </c>
      <c r="I46" s="93">
        <f t="shared" si="68"/>
        <v>0</v>
      </c>
      <c r="J46" s="93">
        <f t="shared" si="69"/>
        <v>0</v>
      </c>
      <c r="K46" s="146">
        <f>epargne_mensuelle!H46</f>
        <v>0</v>
      </c>
      <c r="L46" s="93">
        <f t="shared" si="70"/>
        <v>0</v>
      </c>
      <c r="M46" s="93">
        <f t="shared" si="71"/>
        <v>0</v>
      </c>
      <c r="N46" s="146">
        <f>epargne_mensuelle!I46</f>
        <v>0</v>
      </c>
      <c r="O46" s="93">
        <f t="shared" si="72"/>
        <v>0</v>
      </c>
      <c r="P46" s="93">
        <f t="shared" si="73"/>
        <v>0</v>
      </c>
      <c r="Q46" s="137">
        <f>epargne_mensuelle!J46</f>
        <v>0</v>
      </c>
      <c r="R46" s="93">
        <f t="shared" si="74"/>
        <v>0</v>
      </c>
      <c r="S46" s="93">
        <f t="shared" si="75"/>
        <v>0</v>
      </c>
      <c r="T46" s="137">
        <f>epargne_mensuelle!K46</f>
        <v>0</v>
      </c>
      <c r="U46" s="93">
        <f t="shared" si="76"/>
        <v>0</v>
      </c>
      <c r="V46" s="93">
        <f t="shared" si="77"/>
        <v>0</v>
      </c>
      <c r="W46" s="137">
        <f>epargne_mensuelle!L46</f>
        <v>0</v>
      </c>
      <c r="X46" s="93">
        <f t="shared" si="78"/>
        <v>0</v>
      </c>
      <c r="Y46" s="93">
        <f t="shared" si="79"/>
        <v>0</v>
      </c>
      <c r="Z46" s="137">
        <f>epargne_mensuelle!M46</f>
        <v>0</v>
      </c>
      <c r="AA46" s="93">
        <f t="shared" si="80"/>
        <v>0</v>
      </c>
      <c r="AB46" s="93">
        <f t="shared" si="81"/>
        <v>0</v>
      </c>
      <c r="AC46" s="137">
        <f>epargne_mensuelle!N46</f>
        <v>0</v>
      </c>
      <c r="AD46" s="93">
        <f t="shared" si="82"/>
        <v>0</v>
      </c>
      <c r="AE46" s="93">
        <f t="shared" si="83"/>
        <v>0</v>
      </c>
      <c r="AF46" s="137">
        <f>epargne_mensuelle!O46</f>
        <v>0</v>
      </c>
      <c r="AG46" s="93">
        <f t="shared" si="84"/>
        <v>0</v>
      </c>
      <c r="AH46" s="93">
        <f t="shared" si="85"/>
        <v>0</v>
      </c>
      <c r="AI46" s="137">
        <f>epargne_mensuelle!P46</f>
        <v>0</v>
      </c>
      <c r="AJ46" s="93">
        <f t="shared" si="86"/>
        <v>0</v>
      </c>
      <c r="AK46" s="93">
        <f t="shared" si="87"/>
        <v>0</v>
      </c>
      <c r="AL46" s="137">
        <f>epargne_mensuelle!Q46</f>
        <v>0</v>
      </c>
      <c r="AM46" s="93">
        <f t="shared" si="88"/>
        <v>0</v>
      </c>
      <c r="AN46" s="93">
        <f t="shared" si="89"/>
        <v>0</v>
      </c>
      <c r="AO46" s="137">
        <f>epargne_mensuelle!R46</f>
        <v>0</v>
      </c>
      <c r="AP46" s="93">
        <f t="shared" si="90"/>
        <v>0</v>
      </c>
      <c r="AQ46" s="93">
        <f t="shared" si="91"/>
        <v>0</v>
      </c>
      <c r="AR46" s="137">
        <f>epargne_mensuelle!S46</f>
        <v>0</v>
      </c>
      <c r="AS46" s="93">
        <f t="shared" si="92"/>
        <v>0</v>
      </c>
      <c r="AT46" s="93">
        <f t="shared" si="93"/>
        <v>0</v>
      </c>
      <c r="AU46" s="137">
        <f>epargne_mensuelle!T46</f>
        <v>0</v>
      </c>
      <c r="AV46" s="93">
        <f t="shared" si="94"/>
        <v>0</v>
      </c>
      <c r="AW46" s="93">
        <f t="shared" si="95"/>
        <v>0</v>
      </c>
      <c r="AX46" s="137">
        <f>epargne_mensuelle!U46</f>
        <v>0</v>
      </c>
      <c r="AY46" s="93">
        <f t="shared" si="96"/>
        <v>0</v>
      </c>
      <c r="AZ46" s="93">
        <f t="shared" si="97"/>
        <v>0</v>
      </c>
      <c r="BA46" s="137">
        <f>epargne_mensuelle!V46</f>
        <v>0</v>
      </c>
      <c r="BB46" s="93">
        <f t="shared" si="98"/>
        <v>0</v>
      </c>
      <c r="BC46" s="93">
        <f t="shared" si="99"/>
        <v>0</v>
      </c>
      <c r="BD46" s="137">
        <f>epargne_mensuelle!W46</f>
        <v>0</v>
      </c>
      <c r="BE46" s="93">
        <f t="shared" si="100"/>
        <v>0</v>
      </c>
      <c r="BF46" s="93">
        <f t="shared" si="101"/>
        <v>0</v>
      </c>
      <c r="BG46" s="137">
        <f>epargne_mensuelle!X46</f>
        <v>0</v>
      </c>
      <c r="BH46" s="93">
        <f t="shared" si="102"/>
        <v>0</v>
      </c>
      <c r="BI46" s="93">
        <f t="shared" si="103"/>
        <v>0</v>
      </c>
      <c r="BJ46" s="137">
        <f>epargne_mensuelle!Y46</f>
        <v>0</v>
      </c>
      <c r="BK46" s="93">
        <f t="shared" si="104"/>
        <v>0</v>
      </c>
      <c r="BL46" s="93">
        <f t="shared" si="105"/>
        <v>0</v>
      </c>
      <c r="BM46" s="137">
        <f>epargne_mensuelle!Z46</f>
        <v>0</v>
      </c>
      <c r="BN46" s="93">
        <f t="shared" si="106"/>
        <v>0</v>
      </c>
      <c r="BO46" s="93">
        <f t="shared" si="107"/>
        <v>0</v>
      </c>
      <c r="BP46" s="137">
        <f>epargne_mensuelle!AA46</f>
        <v>0</v>
      </c>
      <c r="BQ46" s="93">
        <f t="shared" si="108"/>
        <v>0</v>
      </c>
      <c r="BR46" s="93">
        <f t="shared" si="109"/>
        <v>0</v>
      </c>
      <c r="BS46" s="137">
        <f>epargne_mensuelle!AB46</f>
        <v>0</v>
      </c>
      <c r="BT46" s="93">
        <f t="shared" si="110"/>
        <v>0</v>
      </c>
      <c r="BU46" s="93">
        <f t="shared" si="111"/>
        <v>0</v>
      </c>
      <c r="BV46" s="94" t="str">
        <f>cumul_epargne!C46</f>
        <v/>
      </c>
      <c r="BW46" s="95">
        <f t="shared" si="112"/>
        <v>0</v>
      </c>
      <c r="BX46" s="134">
        <f t="shared" si="113"/>
        <v>0</v>
      </c>
      <c r="BY46" s="147"/>
      <c r="BZ46" s="135">
        <f t="shared" si="114"/>
        <v>0</v>
      </c>
      <c r="CA46" s="96" t="str">
        <f t="shared" si="115"/>
        <v/>
      </c>
      <c r="CB46" s="113">
        <f t="shared" si="116"/>
        <v>0</v>
      </c>
      <c r="CC46" s="119">
        <f t="shared" si="117"/>
        <v>0</v>
      </c>
      <c r="CD46" s="8">
        <f t="shared" si="118"/>
        <v>0</v>
      </c>
    </row>
    <row r="47" spans="1:82" ht="18.5" thickBot="1" x14ac:dyDescent="0.45">
      <c r="A47" s="81">
        <f>epargne_mensuelle!A47</f>
        <v>0</v>
      </c>
      <c r="B47" s="81">
        <f>epargne_mensuelle!B47</f>
        <v>0</v>
      </c>
      <c r="C47" s="146">
        <f>SUM(epargne_mensuelle!C47:E47)</f>
        <v>0</v>
      </c>
      <c r="D47" s="93">
        <f t="shared" si="65"/>
        <v>0</v>
      </c>
      <c r="E47" s="146">
        <f>epargne_mensuelle!F47</f>
        <v>0</v>
      </c>
      <c r="F47" s="93">
        <f t="shared" si="66"/>
        <v>0</v>
      </c>
      <c r="G47" s="93">
        <f t="shared" si="67"/>
        <v>0</v>
      </c>
      <c r="H47" s="146">
        <f>epargne_mensuelle!G47</f>
        <v>0</v>
      </c>
      <c r="I47" s="93">
        <f t="shared" si="68"/>
        <v>0</v>
      </c>
      <c r="J47" s="93">
        <f t="shared" si="69"/>
        <v>0</v>
      </c>
      <c r="K47" s="146">
        <f>epargne_mensuelle!H47</f>
        <v>0</v>
      </c>
      <c r="L47" s="93">
        <f t="shared" si="70"/>
        <v>0</v>
      </c>
      <c r="M47" s="93">
        <f t="shared" si="71"/>
        <v>0</v>
      </c>
      <c r="N47" s="146">
        <f>epargne_mensuelle!I47</f>
        <v>0</v>
      </c>
      <c r="O47" s="93">
        <f t="shared" si="72"/>
        <v>0</v>
      </c>
      <c r="P47" s="93">
        <f t="shared" si="73"/>
        <v>0</v>
      </c>
      <c r="Q47" s="137">
        <f>epargne_mensuelle!J47</f>
        <v>0</v>
      </c>
      <c r="R47" s="93">
        <f t="shared" si="74"/>
        <v>0</v>
      </c>
      <c r="S47" s="93">
        <f t="shared" si="75"/>
        <v>0</v>
      </c>
      <c r="T47" s="137">
        <f>epargne_mensuelle!K47</f>
        <v>0</v>
      </c>
      <c r="U47" s="93">
        <f t="shared" si="76"/>
        <v>0</v>
      </c>
      <c r="V47" s="93">
        <f t="shared" si="77"/>
        <v>0</v>
      </c>
      <c r="W47" s="137">
        <f>epargne_mensuelle!L47</f>
        <v>0</v>
      </c>
      <c r="X47" s="93">
        <f t="shared" si="78"/>
        <v>0</v>
      </c>
      <c r="Y47" s="93">
        <f t="shared" si="79"/>
        <v>0</v>
      </c>
      <c r="Z47" s="137">
        <f>epargne_mensuelle!M47</f>
        <v>0</v>
      </c>
      <c r="AA47" s="93">
        <f t="shared" si="80"/>
        <v>0</v>
      </c>
      <c r="AB47" s="93">
        <f t="shared" si="81"/>
        <v>0</v>
      </c>
      <c r="AC47" s="137">
        <f>epargne_mensuelle!N47</f>
        <v>0</v>
      </c>
      <c r="AD47" s="93">
        <f t="shared" si="82"/>
        <v>0</v>
      </c>
      <c r="AE47" s="93">
        <f t="shared" si="83"/>
        <v>0</v>
      </c>
      <c r="AF47" s="137">
        <f>epargne_mensuelle!O47</f>
        <v>0</v>
      </c>
      <c r="AG47" s="93">
        <f t="shared" si="84"/>
        <v>0</v>
      </c>
      <c r="AH47" s="93">
        <f t="shared" si="85"/>
        <v>0</v>
      </c>
      <c r="AI47" s="137">
        <f>epargne_mensuelle!P47</f>
        <v>0</v>
      </c>
      <c r="AJ47" s="93">
        <f t="shared" si="86"/>
        <v>0</v>
      </c>
      <c r="AK47" s="93">
        <f t="shared" si="87"/>
        <v>0</v>
      </c>
      <c r="AL47" s="137">
        <f>epargne_mensuelle!Q47</f>
        <v>0</v>
      </c>
      <c r="AM47" s="93">
        <f t="shared" si="88"/>
        <v>0</v>
      </c>
      <c r="AN47" s="93">
        <f t="shared" si="89"/>
        <v>0</v>
      </c>
      <c r="AO47" s="137">
        <f>epargne_mensuelle!R47</f>
        <v>0</v>
      </c>
      <c r="AP47" s="93">
        <f t="shared" si="90"/>
        <v>0</v>
      </c>
      <c r="AQ47" s="93">
        <f t="shared" si="91"/>
        <v>0</v>
      </c>
      <c r="AR47" s="137">
        <f>epargne_mensuelle!S47</f>
        <v>0</v>
      </c>
      <c r="AS47" s="93">
        <f t="shared" si="92"/>
        <v>0</v>
      </c>
      <c r="AT47" s="93">
        <f t="shared" si="93"/>
        <v>0</v>
      </c>
      <c r="AU47" s="137">
        <f>epargne_mensuelle!T47</f>
        <v>0</v>
      </c>
      <c r="AV47" s="93">
        <f t="shared" si="94"/>
        <v>0</v>
      </c>
      <c r="AW47" s="93">
        <f t="shared" si="95"/>
        <v>0</v>
      </c>
      <c r="AX47" s="137">
        <f>epargne_mensuelle!U47</f>
        <v>0</v>
      </c>
      <c r="AY47" s="93">
        <f t="shared" si="96"/>
        <v>0</v>
      </c>
      <c r="AZ47" s="93">
        <f t="shared" si="97"/>
        <v>0</v>
      </c>
      <c r="BA47" s="137">
        <f>epargne_mensuelle!V47</f>
        <v>0</v>
      </c>
      <c r="BB47" s="93">
        <f t="shared" si="98"/>
        <v>0</v>
      </c>
      <c r="BC47" s="93">
        <f t="shared" si="99"/>
        <v>0</v>
      </c>
      <c r="BD47" s="137">
        <f>epargne_mensuelle!W47</f>
        <v>0</v>
      </c>
      <c r="BE47" s="93">
        <f t="shared" si="100"/>
        <v>0</v>
      </c>
      <c r="BF47" s="93">
        <f t="shared" si="101"/>
        <v>0</v>
      </c>
      <c r="BG47" s="137">
        <f>epargne_mensuelle!X47</f>
        <v>0</v>
      </c>
      <c r="BH47" s="93">
        <f t="shared" si="102"/>
        <v>0</v>
      </c>
      <c r="BI47" s="93">
        <f t="shared" si="103"/>
        <v>0</v>
      </c>
      <c r="BJ47" s="137">
        <f>epargne_mensuelle!Y47</f>
        <v>0</v>
      </c>
      <c r="BK47" s="93">
        <f t="shared" si="104"/>
        <v>0</v>
      </c>
      <c r="BL47" s="93">
        <f t="shared" si="105"/>
        <v>0</v>
      </c>
      <c r="BM47" s="137">
        <f>epargne_mensuelle!Z47</f>
        <v>0</v>
      </c>
      <c r="BN47" s="93">
        <f t="shared" si="106"/>
        <v>0</v>
      </c>
      <c r="BO47" s="93">
        <f t="shared" si="107"/>
        <v>0</v>
      </c>
      <c r="BP47" s="137">
        <f>epargne_mensuelle!AA47</f>
        <v>0</v>
      </c>
      <c r="BQ47" s="93">
        <f t="shared" si="108"/>
        <v>0</v>
      </c>
      <c r="BR47" s="93">
        <f t="shared" si="109"/>
        <v>0</v>
      </c>
      <c r="BS47" s="137">
        <f>epargne_mensuelle!AB47</f>
        <v>0</v>
      </c>
      <c r="BT47" s="93">
        <f t="shared" si="110"/>
        <v>0</v>
      </c>
      <c r="BU47" s="93">
        <f t="shared" si="111"/>
        <v>0</v>
      </c>
      <c r="BV47" s="94" t="str">
        <f>cumul_epargne!C47</f>
        <v/>
      </c>
      <c r="BW47" s="95">
        <f t="shared" si="112"/>
        <v>0</v>
      </c>
      <c r="BX47" s="134">
        <f t="shared" si="113"/>
        <v>0</v>
      </c>
      <c r="BY47" s="147"/>
      <c r="BZ47" s="135">
        <f t="shared" si="114"/>
        <v>0</v>
      </c>
      <c r="CA47" s="96" t="str">
        <f t="shared" si="115"/>
        <v/>
      </c>
      <c r="CB47" s="113">
        <f t="shared" si="116"/>
        <v>0</v>
      </c>
      <c r="CC47" s="119">
        <f t="shared" si="117"/>
        <v>0</v>
      </c>
      <c r="CD47" s="8">
        <f t="shared" si="118"/>
        <v>0</v>
      </c>
    </row>
    <row r="48" spans="1:82" s="7" customFormat="1" ht="18.5" thickBot="1" x14ac:dyDescent="0.45">
      <c r="A48" s="238" t="s">
        <v>23</v>
      </c>
      <c r="B48" s="239"/>
      <c r="C48" s="97">
        <f>SUM(C2:C47)</f>
        <v>34335402.980000004</v>
      </c>
      <c r="D48" s="97">
        <f t="shared" ref="D48:BO48" si="119">SUM(D2:D47)</f>
        <v>4340000</v>
      </c>
      <c r="E48" s="97">
        <f t="shared" si="119"/>
        <v>660000</v>
      </c>
      <c r="F48" s="97">
        <f t="shared" si="119"/>
        <v>5800402.9800000032</v>
      </c>
      <c r="G48" s="97">
        <f t="shared" si="119"/>
        <v>0</v>
      </c>
      <c r="H48" s="97">
        <f t="shared" si="119"/>
        <v>2100000</v>
      </c>
      <c r="I48" s="97">
        <f t="shared" si="119"/>
        <v>8630402.9800000004</v>
      </c>
      <c r="J48" s="97">
        <f t="shared" si="119"/>
        <v>820000</v>
      </c>
      <c r="K48" s="97">
        <f t="shared" si="119"/>
        <v>1100000</v>
      </c>
      <c r="L48" s="97">
        <f t="shared" si="119"/>
        <v>7271902.9800000014</v>
      </c>
      <c r="M48" s="97">
        <f t="shared" si="119"/>
        <v>281399.99999999988</v>
      </c>
      <c r="N48" s="97">
        <f t="shared" si="119"/>
        <v>765000</v>
      </c>
      <c r="O48" s="97">
        <f t="shared" si="119"/>
        <v>6324802.9799999995</v>
      </c>
      <c r="P48" s="97">
        <f t="shared" si="119"/>
        <v>100000.00000000001</v>
      </c>
      <c r="Q48" s="97">
        <f t="shared" si="119"/>
        <v>145000</v>
      </c>
      <c r="R48" s="97">
        <f t="shared" si="119"/>
        <v>8664302.9799999986</v>
      </c>
      <c r="S48" s="97">
        <f t="shared" si="119"/>
        <v>720000.00000000023</v>
      </c>
      <c r="T48" s="97">
        <f t="shared" si="119"/>
        <v>0</v>
      </c>
      <c r="U48" s="97">
        <f t="shared" si="119"/>
        <v>10707802.979999999</v>
      </c>
      <c r="V48" s="97">
        <f t="shared" si="119"/>
        <v>0</v>
      </c>
      <c r="W48" s="97">
        <f t="shared" si="119"/>
        <v>0</v>
      </c>
      <c r="X48" s="97">
        <f t="shared" si="119"/>
        <v>10707802.979999999</v>
      </c>
      <c r="Y48" s="97">
        <f t="shared" si="119"/>
        <v>0</v>
      </c>
      <c r="Z48" s="97">
        <f t="shared" si="119"/>
        <v>0</v>
      </c>
      <c r="AA48" s="97">
        <f t="shared" si="119"/>
        <v>10707802.979999999</v>
      </c>
      <c r="AB48" s="97">
        <f t="shared" si="119"/>
        <v>0</v>
      </c>
      <c r="AC48" s="97">
        <f t="shared" si="119"/>
        <v>0</v>
      </c>
      <c r="AD48" s="97">
        <f t="shared" si="119"/>
        <v>10707802.979999999</v>
      </c>
      <c r="AE48" s="97">
        <f t="shared" si="119"/>
        <v>0</v>
      </c>
      <c r="AF48" s="97">
        <f t="shared" si="119"/>
        <v>0</v>
      </c>
      <c r="AG48" s="97">
        <f t="shared" si="119"/>
        <v>10707802.979999999</v>
      </c>
      <c r="AH48" s="97">
        <f t="shared" si="119"/>
        <v>0</v>
      </c>
      <c r="AI48" s="97">
        <f t="shared" si="119"/>
        <v>0</v>
      </c>
      <c r="AJ48" s="97">
        <f t="shared" si="119"/>
        <v>10707802.979999999</v>
      </c>
      <c r="AK48" s="97">
        <f t="shared" si="119"/>
        <v>0</v>
      </c>
      <c r="AL48" s="97">
        <f t="shared" si="119"/>
        <v>0</v>
      </c>
      <c r="AM48" s="97">
        <f t="shared" si="119"/>
        <v>10707802.979999999</v>
      </c>
      <c r="AN48" s="97">
        <f t="shared" si="119"/>
        <v>0</v>
      </c>
      <c r="AO48" s="97">
        <f t="shared" si="119"/>
        <v>0</v>
      </c>
      <c r="AP48" s="97">
        <f t="shared" si="119"/>
        <v>10707802.979999999</v>
      </c>
      <c r="AQ48" s="97">
        <f t="shared" si="119"/>
        <v>0</v>
      </c>
      <c r="AR48" s="97">
        <f t="shared" si="119"/>
        <v>0</v>
      </c>
      <c r="AS48" s="97">
        <f t="shared" si="119"/>
        <v>10707802.979999999</v>
      </c>
      <c r="AT48" s="97">
        <f t="shared" si="119"/>
        <v>0</v>
      </c>
      <c r="AU48" s="97">
        <f t="shared" si="119"/>
        <v>0</v>
      </c>
      <c r="AV48" s="97">
        <f t="shared" si="119"/>
        <v>10707802.979999999</v>
      </c>
      <c r="AW48" s="97">
        <f t="shared" si="119"/>
        <v>0</v>
      </c>
      <c r="AX48" s="97">
        <f t="shared" si="119"/>
        <v>0</v>
      </c>
      <c r="AY48" s="97">
        <f t="shared" si="119"/>
        <v>10707802.979999999</v>
      </c>
      <c r="AZ48" s="97">
        <f t="shared" si="119"/>
        <v>0</v>
      </c>
      <c r="BA48" s="97">
        <f t="shared" si="119"/>
        <v>0</v>
      </c>
      <c r="BB48" s="97">
        <f t="shared" si="119"/>
        <v>10707802.979999999</v>
      </c>
      <c r="BC48" s="97">
        <f t="shared" si="119"/>
        <v>0</v>
      </c>
      <c r="BD48" s="97">
        <f t="shared" si="119"/>
        <v>0</v>
      </c>
      <c r="BE48" s="97">
        <f t="shared" si="119"/>
        <v>10707802.979999999</v>
      </c>
      <c r="BF48" s="97">
        <f t="shared" si="119"/>
        <v>0</v>
      </c>
      <c r="BG48" s="97">
        <f t="shared" si="119"/>
        <v>0</v>
      </c>
      <c r="BH48" s="97">
        <f t="shared" si="119"/>
        <v>10707802.979999999</v>
      </c>
      <c r="BI48" s="97">
        <f t="shared" si="119"/>
        <v>0</v>
      </c>
      <c r="BJ48" s="97">
        <f t="shared" si="119"/>
        <v>0</v>
      </c>
      <c r="BK48" s="97">
        <f t="shared" si="119"/>
        <v>10707802.979999999</v>
      </c>
      <c r="BL48" s="97">
        <f t="shared" si="119"/>
        <v>0</v>
      </c>
      <c r="BM48" s="97">
        <f t="shared" si="119"/>
        <v>0</v>
      </c>
      <c r="BN48" s="97">
        <f t="shared" si="119"/>
        <v>10707802.979999999</v>
      </c>
      <c r="BO48" s="97">
        <f t="shared" si="119"/>
        <v>0</v>
      </c>
      <c r="BP48" s="97">
        <f t="shared" ref="BP48:BU48" si="120">SUM(BP2:BP47)</f>
        <v>0</v>
      </c>
      <c r="BQ48" s="97">
        <f t="shared" si="120"/>
        <v>10707802.979999999</v>
      </c>
      <c r="BR48" s="97">
        <f t="shared" si="120"/>
        <v>0</v>
      </c>
      <c r="BS48" s="97">
        <f t="shared" si="120"/>
        <v>0</v>
      </c>
      <c r="BT48" s="97">
        <f t="shared" si="120"/>
        <v>10707802.979999999</v>
      </c>
      <c r="BU48" s="97">
        <f t="shared" si="120"/>
        <v>0</v>
      </c>
      <c r="BV48" s="97">
        <f t="shared" ref="BV48" si="121">SUM(BV2:BV47)</f>
        <v>39105402.980000004</v>
      </c>
      <c r="BW48" s="97">
        <f t="shared" ref="BW48" si="122">SUM(BW2:BW47)</f>
        <v>6261400.0000000028</v>
      </c>
      <c r="BX48" s="97">
        <f t="shared" ref="BX48" si="123">SUM(BX2:BX47)</f>
        <v>45366802.979999989</v>
      </c>
      <c r="BY48" s="97">
        <f t="shared" ref="BY48" si="124">SUM(BY2:BY47)</f>
        <v>0</v>
      </c>
      <c r="BZ48" s="97">
        <f t="shared" ref="BZ48" si="125">SUM(BZ2:BZ47)</f>
        <v>45366802.979999989</v>
      </c>
      <c r="CA48" s="98">
        <f>IF(BV48="","",BW48/BV48)</f>
        <v>0.16011598200899047</v>
      </c>
      <c r="CB48" s="125">
        <f>BZ48/BZ$48</f>
        <v>1</v>
      </c>
      <c r="CC48" s="119">
        <f>CB48*(C$50-BW$58-BW$57)</f>
        <v>4328802.9800000042</v>
      </c>
      <c r="CD48" s="8">
        <f t="shared" si="54"/>
        <v>0</v>
      </c>
    </row>
    <row r="49" spans="1:82" ht="18.5" thickTop="1" x14ac:dyDescent="0.4"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  <c r="BC49" s="99"/>
      <c r="BD49" s="99"/>
      <c r="BE49" s="99"/>
      <c r="BF49" s="99"/>
      <c r="BG49" s="99"/>
      <c r="BH49" s="99"/>
      <c r="BI49" s="99"/>
      <c r="BJ49" s="99"/>
      <c r="BK49" s="99"/>
      <c r="BL49" s="99"/>
      <c r="BM49" s="99"/>
      <c r="BN49" s="99"/>
      <c r="BO49" s="99"/>
      <c r="BP49" s="99"/>
      <c r="BQ49" s="99"/>
      <c r="BR49" s="99"/>
      <c r="BS49" s="99"/>
      <c r="BT49" s="99"/>
      <c r="BU49" s="99"/>
      <c r="BV49" s="149" t="s">
        <v>183</v>
      </c>
      <c r="BW49" s="149"/>
      <c r="BX49" s="129">
        <f>recap_prêt!J45+SUM(recap_prêt!J7:J8)-113030</f>
        <v>42292370</v>
      </c>
      <c r="BY49" s="100"/>
      <c r="BZ49" s="240"/>
      <c r="CA49" s="240"/>
      <c r="CB49" s="240"/>
      <c r="CC49" s="128"/>
    </row>
    <row r="50" spans="1:82" ht="19" customHeight="1" x14ac:dyDescent="0.4">
      <c r="B50" s="131" t="s">
        <v>184</v>
      </c>
      <c r="C50" s="111">
        <f>recap_prêt!$C$1</f>
        <v>4328802.9800000042</v>
      </c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99"/>
      <c r="BC50" s="99"/>
      <c r="BD50" s="99"/>
      <c r="BE50" s="99"/>
      <c r="BF50" s="99"/>
      <c r="BG50" s="99"/>
      <c r="BH50" s="99"/>
      <c r="BI50" s="99"/>
      <c r="BJ50" s="99"/>
      <c r="BK50" s="99"/>
      <c r="BL50" s="99"/>
      <c r="BM50" s="148"/>
      <c r="BN50" s="99"/>
      <c r="BO50" s="99"/>
      <c r="BP50" s="148"/>
      <c r="BQ50" s="99"/>
      <c r="BR50" s="99"/>
      <c r="BS50" s="148"/>
      <c r="BT50" s="237" t="s">
        <v>184</v>
      </c>
      <c r="BU50" s="237"/>
      <c r="BV50" s="237"/>
      <c r="BW50" s="136">
        <f>recap_prêt!$C$1</f>
        <v>4328802.9800000042</v>
      </c>
      <c r="BX50" s="150">
        <f>BW50+BX49</f>
        <v>46621172.980000004</v>
      </c>
      <c r="BY50" s="130"/>
      <c r="BZ50" s="130"/>
      <c r="CA50" s="100"/>
      <c r="CB50" s="114"/>
    </row>
    <row r="51" spans="1:82" x14ac:dyDescent="0.35"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99"/>
      <c r="AV51" s="99"/>
      <c r="AW51" s="99"/>
      <c r="AX51" s="99"/>
      <c r="AY51" s="99"/>
      <c r="AZ51" s="99"/>
      <c r="BA51" s="99"/>
      <c r="BB51" s="99"/>
      <c r="BC51" s="99"/>
      <c r="BD51" s="99"/>
      <c r="BE51" s="99"/>
      <c r="BF51" s="99"/>
      <c r="BG51" s="99"/>
      <c r="BH51" s="99"/>
      <c r="BI51" s="99"/>
      <c r="BJ51" s="99"/>
      <c r="BK51" s="99"/>
      <c r="BL51" s="99"/>
      <c r="BM51" s="99"/>
      <c r="BN51" s="99"/>
      <c r="BO51" s="99"/>
      <c r="BP51" s="99"/>
      <c r="BQ51" s="99"/>
      <c r="BR51" s="99"/>
      <c r="BS51" s="99"/>
      <c r="BT51" s="99"/>
      <c r="BU51" s="99"/>
      <c r="BV51" s="100"/>
      <c r="BW51" s="100"/>
      <c r="BX51" s="162">
        <f>BX48-BX50</f>
        <v>-1254370.0000000149</v>
      </c>
      <c r="BY51" s="100"/>
      <c r="BZ51" s="100"/>
      <c r="CA51" s="100"/>
      <c r="CB51" s="114"/>
    </row>
    <row r="52" spans="1:82" s="80" customFormat="1" x14ac:dyDescent="0.35">
      <c r="A52" s="85"/>
      <c r="B52" s="86" t="s">
        <v>127</v>
      </c>
      <c r="C52" s="101">
        <f>pret!J40</f>
        <v>35400000</v>
      </c>
      <c r="D52" s="101"/>
      <c r="E52" s="101">
        <f>pret!K40</f>
        <v>0</v>
      </c>
      <c r="F52" s="101"/>
      <c r="G52" s="101"/>
      <c r="H52" s="101">
        <f>pret!L40</f>
        <v>6500000</v>
      </c>
      <c r="I52" s="101"/>
      <c r="J52" s="101"/>
      <c r="K52" s="101">
        <f>pret!M40</f>
        <v>4600000</v>
      </c>
      <c r="L52" s="101"/>
      <c r="M52" s="101"/>
      <c r="N52" s="101">
        <f>pret!N40</f>
        <v>2500000</v>
      </c>
      <c r="O52" s="101"/>
      <c r="P52" s="101"/>
      <c r="Q52" s="101">
        <f>pret!O40</f>
        <v>3000000</v>
      </c>
      <c r="R52" s="101"/>
      <c r="S52" s="101"/>
      <c r="T52" s="101">
        <f>pret!P40</f>
        <v>0</v>
      </c>
      <c r="U52" s="101"/>
      <c r="V52" s="101"/>
      <c r="W52" s="101">
        <f>pret!Q40</f>
        <v>0</v>
      </c>
      <c r="X52" s="101"/>
      <c r="Y52" s="101"/>
      <c r="Z52" s="101">
        <f>pret!R40</f>
        <v>0</v>
      </c>
      <c r="AA52" s="101"/>
      <c r="AB52" s="101"/>
      <c r="AC52" s="101">
        <f>pret!S40</f>
        <v>0</v>
      </c>
      <c r="AD52" s="101"/>
      <c r="AE52" s="101"/>
      <c r="AF52" s="101">
        <f>pret!T40</f>
        <v>0</v>
      </c>
      <c r="AG52" s="101"/>
      <c r="AH52" s="101"/>
      <c r="AI52" s="101">
        <f>pret!U40</f>
        <v>0</v>
      </c>
      <c r="AJ52" s="101"/>
      <c r="AK52" s="101"/>
      <c r="AL52" s="101">
        <f>pret!V40</f>
        <v>0</v>
      </c>
      <c r="AM52" s="101"/>
      <c r="AN52" s="101"/>
      <c r="AO52" s="101">
        <f>pret!W40</f>
        <v>0</v>
      </c>
      <c r="AP52" s="101"/>
      <c r="AQ52" s="101"/>
      <c r="AR52" s="101">
        <f>pret!X40</f>
        <v>0</v>
      </c>
      <c r="AS52" s="101"/>
      <c r="AT52" s="101"/>
      <c r="AU52" s="101">
        <f>pret!Y40</f>
        <v>0</v>
      </c>
      <c r="AV52" s="101"/>
      <c r="AW52" s="101"/>
      <c r="AX52" s="101">
        <f>pret!Z40</f>
        <v>0</v>
      </c>
      <c r="AY52" s="101"/>
      <c r="AZ52" s="101"/>
      <c r="BA52" s="101">
        <f>pret!AA40</f>
        <v>0</v>
      </c>
      <c r="BB52" s="101"/>
      <c r="BC52" s="101"/>
      <c r="BD52" s="101">
        <f>pret!AB40</f>
        <v>0</v>
      </c>
      <c r="BE52" s="101"/>
      <c r="BF52" s="101"/>
      <c r="BG52" s="101">
        <f>pret!AC40</f>
        <v>0</v>
      </c>
      <c r="BH52" s="101"/>
      <c r="BI52" s="101"/>
      <c r="BJ52" s="101">
        <f>pret!AD40</f>
        <v>0</v>
      </c>
      <c r="BK52" s="101"/>
      <c r="BL52" s="101"/>
      <c r="BM52" s="101">
        <f>pret!AE40</f>
        <v>0</v>
      </c>
      <c r="BN52" s="101"/>
      <c r="BO52" s="101"/>
      <c r="BP52" s="101">
        <f>pret!AF40</f>
        <v>0</v>
      </c>
      <c r="BQ52" s="101"/>
      <c r="BR52" s="101"/>
      <c r="BS52" s="101">
        <f>pret!AG40</f>
        <v>0</v>
      </c>
      <c r="BT52" s="101"/>
      <c r="BU52" s="101"/>
      <c r="BV52" s="101"/>
      <c r="BW52" s="102">
        <f>SUM(A52:BS52)</f>
        <v>52000000</v>
      </c>
      <c r="BX52" s="101"/>
      <c r="BY52" s="101"/>
      <c r="BZ52" s="101"/>
      <c r="CA52" s="101"/>
      <c r="CB52" s="115"/>
      <c r="CD52" s="127"/>
    </row>
    <row r="53" spans="1:82" s="80" customFormat="1" x14ac:dyDescent="0.35">
      <c r="A53" s="85"/>
      <c r="B53" s="87" t="s">
        <v>90</v>
      </c>
      <c r="C53" s="102">
        <f>_interet!J42</f>
        <v>4340000</v>
      </c>
      <c r="D53" s="102"/>
      <c r="E53" s="102">
        <f>_interet!K42</f>
        <v>0</v>
      </c>
      <c r="F53" s="102"/>
      <c r="G53" s="102"/>
      <c r="H53" s="102">
        <f>_interet!L42</f>
        <v>820000</v>
      </c>
      <c r="I53" s="102"/>
      <c r="J53" s="102"/>
      <c r="K53" s="102">
        <f>_interet!M42</f>
        <v>281400</v>
      </c>
      <c r="L53" s="102"/>
      <c r="M53" s="102"/>
      <c r="N53" s="102">
        <f>_interet!N42</f>
        <v>100000</v>
      </c>
      <c r="O53" s="102"/>
      <c r="P53" s="102"/>
      <c r="Q53" s="102">
        <f>_interet!O42</f>
        <v>720000</v>
      </c>
      <c r="R53" s="102"/>
      <c r="S53" s="102"/>
      <c r="T53" s="102">
        <f>_interet!P42</f>
        <v>0</v>
      </c>
      <c r="U53" s="102"/>
      <c r="V53" s="102"/>
      <c r="W53" s="102">
        <f>_interet!Q42</f>
        <v>0</v>
      </c>
      <c r="X53" s="102"/>
      <c r="Y53" s="102"/>
      <c r="Z53" s="102">
        <f>_interet!R42</f>
        <v>0</v>
      </c>
      <c r="AA53" s="102"/>
      <c r="AB53" s="102"/>
      <c r="AC53" s="102">
        <f>_interet!S42</f>
        <v>0</v>
      </c>
      <c r="AD53" s="102"/>
      <c r="AE53" s="102"/>
      <c r="AF53" s="102">
        <f>_interet!T42</f>
        <v>0</v>
      </c>
      <c r="AG53" s="102"/>
      <c r="AH53" s="102"/>
      <c r="AI53" s="102">
        <f>_interet!U42</f>
        <v>0</v>
      </c>
      <c r="AJ53" s="102"/>
      <c r="AK53" s="102"/>
      <c r="AL53" s="102">
        <f>_interet!V42</f>
        <v>0</v>
      </c>
      <c r="AM53" s="102"/>
      <c r="AN53" s="102"/>
      <c r="AO53" s="102">
        <f>_interet!W42</f>
        <v>0</v>
      </c>
      <c r="AP53" s="102"/>
      <c r="AQ53" s="102"/>
      <c r="AR53" s="102">
        <f>_interet!X42</f>
        <v>0</v>
      </c>
      <c r="AS53" s="102"/>
      <c r="AT53" s="102"/>
      <c r="AU53" s="102">
        <f>_interet!Y42</f>
        <v>0</v>
      </c>
      <c r="AV53" s="102"/>
      <c r="AW53" s="102"/>
      <c r="AX53" s="102">
        <f>_interet!Z42</f>
        <v>0</v>
      </c>
      <c r="AY53" s="102"/>
      <c r="AZ53" s="102"/>
      <c r="BA53" s="102">
        <f>_interet!AA42</f>
        <v>0</v>
      </c>
      <c r="BB53" s="102"/>
      <c r="BC53" s="102"/>
      <c r="BD53" s="102">
        <f>_interet!AB42</f>
        <v>0</v>
      </c>
      <c r="BE53" s="102"/>
      <c r="BF53" s="102"/>
      <c r="BG53" s="102">
        <f>_interet!AC42</f>
        <v>0</v>
      </c>
      <c r="BH53" s="102"/>
      <c r="BI53" s="102"/>
      <c r="BJ53" s="102">
        <f>_interet!AD42</f>
        <v>0</v>
      </c>
      <c r="BK53" s="102"/>
      <c r="BL53" s="102"/>
      <c r="BM53" s="102">
        <f>_interet!AE42</f>
        <v>0</v>
      </c>
      <c r="BN53" s="102"/>
      <c r="BO53" s="102"/>
      <c r="BP53" s="102">
        <f>_interet!AF42</f>
        <v>0</v>
      </c>
      <c r="BQ53" s="102"/>
      <c r="BR53" s="102"/>
      <c r="BS53" s="102">
        <f>_interet!AG42</f>
        <v>0</v>
      </c>
      <c r="BT53" s="102"/>
      <c r="BU53" s="102"/>
      <c r="BV53" s="102"/>
      <c r="BW53" s="102">
        <f>SUM(A53:BS53)</f>
        <v>6261400</v>
      </c>
      <c r="BX53" s="102"/>
      <c r="BY53" s="102"/>
      <c r="BZ53" s="102"/>
      <c r="CA53" s="102"/>
      <c r="CB53" s="115"/>
      <c r="CD53" s="127"/>
    </row>
    <row r="54" spans="1:82" x14ac:dyDescent="0.35">
      <c r="B54" s="88" t="s">
        <v>128</v>
      </c>
      <c r="C54" s="103">
        <f>C55</f>
        <v>1865000</v>
      </c>
      <c r="D54" s="103"/>
      <c r="E54" s="103">
        <f>E55</f>
        <v>730000</v>
      </c>
      <c r="F54" s="103"/>
      <c r="G54" s="103"/>
      <c r="H54" s="103">
        <f>H55</f>
        <v>3221500</v>
      </c>
      <c r="I54" s="103"/>
      <c r="J54" s="103"/>
      <c r="K54" s="103">
        <f>K55</f>
        <v>2606500</v>
      </c>
      <c r="L54" s="103"/>
      <c r="M54" s="103"/>
      <c r="N54" s="103">
        <f>N55</f>
        <v>4594500</v>
      </c>
      <c r="O54" s="103"/>
      <c r="P54" s="103"/>
      <c r="Q54" s="103">
        <f>Q55</f>
        <v>4323500</v>
      </c>
      <c r="R54" s="103"/>
      <c r="S54" s="103"/>
      <c r="T54" s="103">
        <f>T55</f>
        <v>0</v>
      </c>
      <c r="U54" s="103"/>
      <c r="V54" s="103"/>
      <c r="W54" s="103">
        <f>W55</f>
        <v>0</v>
      </c>
      <c r="X54" s="103"/>
      <c r="Y54" s="103"/>
      <c r="Z54" s="103">
        <f>Z55</f>
        <v>0</v>
      </c>
      <c r="AA54" s="103"/>
      <c r="AB54" s="103"/>
      <c r="AC54" s="103">
        <f>AC55</f>
        <v>0</v>
      </c>
      <c r="AD54" s="103"/>
      <c r="AE54" s="103"/>
      <c r="AF54" s="103">
        <f>AF55</f>
        <v>0</v>
      </c>
      <c r="AG54" s="103"/>
      <c r="AH54" s="103"/>
      <c r="AI54" s="103">
        <f>AI55</f>
        <v>0</v>
      </c>
      <c r="AJ54" s="103"/>
      <c r="AK54" s="103"/>
      <c r="AL54" s="103">
        <f>AL55</f>
        <v>0</v>
      </c>
      <c r="AM54" s="103"/>
      <c r="AN54" s="103"/>
      <c r="AO54" s="103">
        <f>AO55</f>
        <v>0</v>
      </c>
      <c r="AP54" s="103"/>
      <c r="AQ54" s="103"/>
      <c r="AR54" s="103">
        <f>AR55</f>
        <v>0</v>
      </c>
      <c r="AS54" s="103"/>
      <c r="AT54" s="103"/>
      <c r="AU54" s="103">
        <f>AU55</f>
        <v>0</v>
      </c>
      <c r="AV54" s="103"/>
      <c r="AW54" s="103"/>
      <c r="AX54" s="103">
        <f>AX55</f>
        <v>0</v>
      </c>
      <c r="AY54" s="103"/>
      <c r="AZ54" s="103"/>
      <c r="BA54" s="103">
        <f>BA55</f>
        <v>0</v>
      </c>
      <c r="BB54" s="103"/>
      <c r="BC54" s="103"/>
      <c r="BD54" s="103">
        <f>BD55</f>
        <v>0</v>
      </c>
      <c r="BE54" s="103"/>
      <c r="BF54" s="103"/>
      <c r="BG54" s="103">
        <f>BG55</f>
        <v>0</v>
      </c>
      <c r="BH54" s="103"/>
      <c r="BI54" s="103"/>
      <c r="BJ54" s="103">
        <f>BJ55</f>
        <v>0</v>
      </c>
      <c r="BK54" s="103"/>
      <c r="BL54" s="103"/>
      <c r="BM54" s="103">
        <f>BM55</f>
        <v>0</v>
      </c>
      <c r="BN54" s="103"/>
      <c r="BO54" s="103"/>
      <c r="BP54" s="103">
        <f>BP55</f>
        <v>0</v>
      </c>
      <c r="BQ54" s="103"/>
      <c r="BR54" s="103"/>
      <c r="BS54" s="103">
        <f>BS55</f>
        <v>0</v>
      </c>
      <c r="BT54" s="103"/>
      <c r="BU54" s="103"/>
      <c r="BV54" s="104"/>
      <c r="BW54" s="102">
        <f>SUM(A54:BS54)</f>
        <v>17341000</v>
      </c>
      <c r="BX54" s="104"/>
      <c r="BY54" s="104"/>
      <c r="BZ54" s="104"/>
      <c r="CA54" s="104"/>
      <c r="CB54" s="114"/>
    </row>
    <row r="55" spans="1:82" x14ac:dyDescent="0.35">
      <c r="C55" s="105">
        <f>recouvrement_dette!J40</f>
        <v>1865000</v>
      </c>
      <c r="D55" s="105"/>
      <c r="E55" s="105">
        <f>recouvrement_dette!K40</f>
        <v>730000</v>
      </c>
      <c r="F55" s="105"/>
      <c r="G55" s="105"/>
      <c r="H55" s="105">
        <f>recouvrement_dette!L40</f>
        <v>3221500</v>
      </c>
      <c r="I55" s="105"/>
      <c r="J55" s="105"/>
      <c r="K55" s="105">
        <f>recouvrement_dette!M40</f>
        <v>2606500</v>
      </c>
      <c r="L55" s="105"/>
      <c r="M55" s="105"/>
      <c r="N55" s="105">
        <f>recouvrement_dette!N40</f>
        <v>4594500</v>
      </c>
      <c r="O55" s="105"/>
      <c r="P55" s="105"/>
      <c r="Q55" s="105">
        <f>recouvrement_dette!O40</f>
        <v>4323500</v>
      </c>
      <c r="R55" s="105"/>
      <c r="S55" s="105"/>
      <c r="T55" s="105">
        <f>recouvrement_dette!P40</f>
        <v>0</v>
      </c>
      <c r="U55" s="105"/>
      <c r="V55" s="105"/>
      <c r="W55" s="105">
        <f>recouvrement_dette!Q40</f>
        <v>0</v>
      </c>
      <c r="X55" s="105"/>
      <c r="Y55" s="105"/>
      <c r="Z55" s="105">
        <f>recouvrement_dette!R40</f>
        <v>0</v>
      </c>
      <c r="AA55" s="105"/>
      <c r="AB55" s="105"/>
      <c r="AC55" s="105">
        <f>recouvrement_dette!S40</f>
        <v>0</v>
      </c>
      <c r="AD55" s="105"/>
      <c r="AE55" s="105"/>
      <c r="AF55" s="105">
        <f>recouvrement_dette!T40</f>
        <v>0</v>
      </c>
      <c r="AG55" s="105"/>
      <c r="AH55" s="105"/>
      <c r="AI55" s="105">
        <f>recouvrement_dette!U40</f>
        <v>0</v>
      </c>
      <c r="AJ55" s="105"/>
      <c r="AK55" s="105"/>
      <c r="AL55" s="105">
        <f>recouvrement_dette!V40</f>
        <v>0</v>
      </c>
      <c r="AM55" s="105"/>
      <c r="AN55" s="105"/>
      <c r="AO55" s="105">
        <f>recouvrement_dette!W40</f>
        <v>0</v>
      </c>
      <c r="AP55" s="105"/>
      <c r="AQ55" s="105"/>
      <c r="AR55" s="105">
        <f>recouvrement_dette!X40</f>
        <v>0</v>
      </c>
      <c r="AS55" s="105"/>
      <c r="AT55" s="105"/>
      <c r="AU55" s="105">
        <f>recouvrement_dette!Y40</f>
        <v>0</v>
      </c>
      <c r="AV55" s="105"/>
      <c r="AW55" s="105"/>
      <c r="AX55" s="105">
        <f>recouvrement_dette!Z40</f>
        <v>0</v>
      </c>
      <c r="AY55" s="105"/>
      <c r="AZ55" s="105"/>
      <c r="BA55" s="105">
        <f>recouvrement_dette!AA40</f>
        <v>0</v>
      </c>
      <c r="BB55" s="105"/>
      <c r="BC55" s="105"/>
      <c r="BD55" s="105">
        <f>recouvrement_dette!AB40</f>
        <v>0</v>
      </c>
      <c r="BE55" s="105"/>
      <c r="BF55" s="105"/>
      <c r="BG55" s="105">
        <f>recouvrement_dette!AC40</f>
        <v>0</v>
      </c>
      <c r="BH55" s="105"/>
      <c r="BI55" s="105"/>
      <c r="BJ55" s="105">
        <f>recouvrement_dette!AD40</f>
        <v>0</v>
      </c>
      <c r="BK55" s="105"/>
      <c r="BL55" s="105"/>
      <c r="BM55" s="105">
        <f>recouvrement_dette!AE40</f>
        <v>0</v>
      </c>
      <c r="BN55" s="105"/>
      <c r="BO55" s="105"/>
      <c r="BP55" s="105">
        <f>recouvrement_dette!AF40</f>
        <v>0</v>
      </c>
      <c r="BQ55" s="105"/>
      <c r="BR55" s="105"/>
      <c r="BS55" s="105">
        <f>recouvrement_dette!AG40</f>
        <v>0</v>
      </c>
      <c r="BT55" s="105"/>
      <c r="BU55" s="105"/>
      <c r="BV55" s="100"/>
      <c r="BW55" s="102">
        <f>SUM(A55:BS55)</f>
        <v>17341000</v>
      </c>
      <c r="BX55" s="100"/>
      <c r="BY55" s="100"/>
      <c r="BZ55" s="100"/>
      <c r="CA55" s="100"/>
      <c r="CB55" s="114"/>
    </row>
    <row r="56" spans="1:82" ht="13.5" customHeight="1" x14ac:dyDescent="0.4">
      <c r="C56" s="105"/>
      <c r="E56" s="105"/>
      <c r="H56" s="105"/>
      <c r="K56" s="105"/>
      <c r="N56" s="105"/>
      <c r="Q56" s="105"/>
      <c r="T56" s="105"/>
      <c r="W56" s="105"/>
      <c r="Z56" s="105"/>
      <c r="AC56" s="105"/>
      <c r="AF56" s="105"/>
      <c r="AI56" s="105"/>
      <c r="AL56" s="105"/>
      <c r="AO56" s="105"/>
      <c r="AR56" s="105"/>
      <c r="AU56" s="105"/>
      <c r="AX56" s="105"/>
      <c r="BA56" s="105"/>
      <c r="BD56" s="105"/>
      <c r="BG56" s="105"/>
      <c r="BJ56" s="105"/>
      <c r="BM56" s="105"/>
      <c r="BP56" s="105"/>
      <c r="BS56" s="105"/>
    </row>
    <row r="57" spans="1:82" s="110" customFormat="1" ht="19" x14ac:dyDescent="0.4">
      <c r="A57" s="109"/>
      <c r="B57" s="110" t="s">
        <v>178</v>
      </c>
      <c r="C57" s="105">
        <f>recouvrement_dette!J42</f>
        <v>0</v>
      </c>
      <c r="D57" s="105"/>
      <c r="E57" s="105">
        <f>recouvrement_dette!K42</f>
        <v>0</v>
      </c>
      <c r="F57" s="105"/>
      <c r="G57" s="105"/>
      <c r="H57" s="105">
        <f>recouvrement_dette!L42</f>
        <v>0</v>
      </c>
      <c r="I57" s="105"/>
      <c r="J57" s="105"/>
      <c r="K57" s="105">
        <f>recouvrement_dette!M42</f>
        <v>0</v>
      </c>
      <c r="L57" s="105"/>
      <c r="M57" s="105"/>
      <c r="N57" s="105">
        <f>recouvrement_dette!N42</f>
        <v>0</v>
      </c>
      <c r="O57" s="105"/>
      <c r="P57" s="105"/>
      <c r="Q57" s="105">
        <f>recouvrement_dette!O42</f>
        <v>0</v>
      </c>
      <c r="R57" s="105"/>
      <c r="S57" s="105"/>
      <c r="T57" s="105">
        <f>recouvrement_dette!P42</f>
        <v>0</v>
      </c>
      <c r="U57" s="105"/>
      <c r="V57" s="105"/>
      <c r="W57" s="105">
        <f>recouvrement_dette!Q42</f>
        <v>0</v>
      </c>
      <c r="X57" s="105"/>
      <c r="Y57" s="105"/>
      <c r="Z57" s="105">
        <f>recouvrement_dette!R42</f>
        <v>0</v>
      </c>
      <c r="AA57" s="105"/>
      <c r="AB57" s="105"/>
      <c r="AC57" s="105">
        <f>recouvrement_dette!S42</f>
        <v>0</v>
      </c>
      <c r="AD57" s="105"/>
      <c r="AE57" s="105"/>
      <c r="AF57" s="105">
        <f>recouvrement_dette!T42</f>
        <v>0</v>
      </c>
      <c r="AG57" s="105"/>
      <c r="AH57" s="105"/>
      <c r="AI57" s="105">
        <f>recouvrement_dette!U42</f>
        <v>0</v>
      </c>
      <c r="AJ57" s="105"/>
      <c r="AK57" s="105"/>
      <c r="AL57" s="105">
        <f>recouvrement_dette!V42</f>
        <v>0</v>
      </c>
      <c r="AM57" s="105"/>
      <c r="AN57" s="105"/>
      <c r="AO57" s="105">
        <f>recouvrement_dette!W42</f>
        <v>0</v>
      </c>
      <c r="AP57" s="105"/>
      <c r="AQ57" s="105"/>
      <c r="AR57" s="105">
        <f>recouvrement_dette!X42</f>
        <v>0</v>
      </c>
      <c r="AS57" s="105"/>
      <c r="AT57" s="105"/>
      <c r="AU57" s="105">
        <f>recouvrement_dette!Y42</f>
        <v>0</v>
      </c>
      <c r="AV57" s="105"/>
      <c r="AW57" s="105"/>
      <c r="AX57" s="105">
        <f>recouvrement_dette!Z42</f>
        <v>0</v>
      </c>
      <c r="AY57" s="105"/>
      <c r="AZ57" s="105"/>
      <c r="BA57" s="105">
        <f>recouvrement_dette!AA42</f>
        <v>0</v>
      </c>
      <c r="BB57" s="105"/>
      <c r="BC57" s="105"/>
      <c r="BD57" s="105">
        <f>recouvrement_dette!AB42</f>
        <v>0</v>
      </c>
      <c r="BE57" s="105"/>
      <c r="BF57" s="105"/>
      <c r="BG57" s="105">
        <f>recouvrement_dette!AC42</f>
        <v>0</v>
      </c>
      <c r="BH57" s="105"/>
      <c r="BI57" s="105"/>
      <c r="BJ57" s="105">
        <f>recouvrement_dette!AD42</f>
        <v>0</v>
      </c>
      <c r="BK57" s="105"/>
      <c r="BL57" s="105"/>
      <c r="BM57" s="105">
        <f>recouvrement_dette!AE42</f>
        <v>0</v>
      </c>
      <c r="BN57" s="105"/>
      <c r="BO57" s="105"/>
      <c r="BP57" s="105">
        <f>recouvrement_dette!AF42</f>
        <v>0</v>
      </c>
      <c r="BQ57" s="105"/>
      <c r="BR57" s="105"/>
      <c r="BS57" s="105">
        <f>recouvrement_dette!AG42</f>
        <v>0</v>
      </c>
      <c r="BT57" s="109"/>
      <c r="BU57" s="109"/>
      <c r="BV57" s="109"/>
      <c r="BW57" s="102">
        <f>SUM(A57:BS57)</f>
        <v>0</v>
      </c>
      <c r="BX57" s="109"/>
      <c r="BY57" s="109"/>
      <c r="BZ57" s="109"/>
      <c r="CA57" s="109"/>
      <c r="CB57" s="116"/>
    </row>
    <row r="58" spans="1:82" s="123" customFormat="1" ht="30" x14ac:dyDescent="0.35">
      <c r="A58" s="100"/>
      <c r="B58" s="120" t="s">
        <v>179</v>
      </c>
      <c r="C58" s="121">
        <f>C53*$B$59</f>
        <v>0</v>
      </c>
      <c r="D58" s="100"/>
      <c r="E58" s="121">
        <f>E53*$B$59</f>
        <v>0</v>
      </c>
      <c r="F58" s="100"/>
      <c r="G58" s="100"/>
      <c r="H58" s="121">
        <f>H53*$B$59</f>
        <v>0</v>
      </c>
      <c r="I58" s="100"/>
      <c r="J58" s="100"/>
      <c r="K58" s="121">
        <f>K53*$B$59</f>
        <v>0</v>
      </c>
      <c r="L58" s="100"/>
      <c r="M58" s="100"/>
      <c r="N58" s="121">
        <f>N53*$B$59</f>
        <v>0</v>
      </c>
      <c r="O58" s="100"/>
      <c r="P58" s="100"/>
      <c r="Q58" s="121">
        <f>Q53*$B$59</f>
        <v>0</v>
      </c>
      <c r="R58" s="100"/>
      <c r="S58" s="100"/>
      <c r="T58" s="121">
        <f>T53*$B$59</f>
        <v>0</v>
      </c>
      <c r="U58" s="100"/>
      <c r="V58" s="100"/>
      <c r="W58" s="121">
        <f>W53*$B$59</f>
        <v>0</v>
      </c>
      <c r="X58" s="100"/>
      <c r="Y58" s="100"/>
      <c r="Z58" s="121">
        <f>Z53*$B$59</f>
        <v>0</v>
      </c>
      <c r="AA58" s="100"/>
      <c r="AB58" s="100"/>
      <c r="AC58" s="121">
        <f>AC53*$B$59</f>
        <v>0</v>
      </c>
      <c r="AD58" s="100"/>
      <c r="AE58" s="100"/>
      <c r="AF58" s="121">
        <f>AF53*$B$59</f>
        <v>0</v>
      </c>
      <c r="AG58" s="100"/>
      <c r="AH58" s="100"/>
      <c r="AI58" s="121">
        <f>AI53*$B$59</f>
        <v>0</v>
      </c>
      <c r="AJ58" s="100"/>
      <c r="AK58" s="100"/>
      <c r="AL58" s="121">
        <f>AL53*$B$59</f>
        <v>0</v>
      </c>
      <c r="AM58" s="100"/>
      <c r="AN58" s="100"/>
      <c r="AO58" s="121">
        <f>AO53*$B$59</f>
        <v>0</v>
      </c>
      <c r="AP58" s="100"/>
      <c r="AQ58" s="100"/>
      <c r="AR58" s="121">
        <f>AR53*$B$59</f>
        <v>0</v>
      </c>
      <c r="AS58" s="100"/>
      <c r="AT58" s="100"/>
      <c r="AU58" s="121">
        <f>AU53*$B$59</f>
        <v>0</v>
      </c>
      <c r="AV58" s="100"/>
      <c r="AW58" s="100"/>
      <c r="AX58" s="121">
        <f>AX53*$B$59</f>
        <v>0</v>
      </c>
      <c r="AY58" s="100"/>
      <c r="AZ58" s="100"/>
      <c r="BA58" s="121">
        <f>BA53*$B$59</f>
        <v>0</v>
      </c>
      <c r="BB58" s="100"/>
      <c r="BC58" s="100"/>
      <c r="BD58" s="121">
        <f>BD53*$B$59</f>
        <v>0</v>
      </c>
      <c r="BE58" s="100"/>
      <c r="BF58" s="100"/>
      <c r="BG58" s="121">
        <f>BG53*$B$59</f>
        <v>0</v>
      </c>
      <c r="BH58" s="100"/>
      <c r="BI58" s="100"/>
      <c r="BJ58" s="121">
        <f>BJ53*$B$59</f>
        <v>0</v>
      </c>
      <c r="BK58" s="100"/>
      <c r="BL58" s="100"/>
      <c r="BM58" s="121">
        <f>BM53*$B$59</f>
        <v>0</v>
      </c>
      <c r="BN58" s="100"/>
      <c r="BO58" s="100"/>
      <c r="BP58" s="121">
        <f>BP53*$B$59</f>
        <v>0</v>
      </c>
      <c r="BQ58" s="100"/>
      <c r="BR58" s="100"/>
      <c r="BS58" s="121">
        <f>BS53*$B$59</f>
        <v>0</v>
      </c>
      <c r="BT58" s="100"/>
      <c r="BU58" s="100"/>
      <c r="BV58" s="100"/>
      <c r="BW58" s="102">
        <f>SUM(A58:BS58)</f>
        <v>0</v>
      </c>
      <c r="BX58" s="100"/>
      <c r="BY58" s="100"/>
      <c r="BZ58" s="100"/>
      <c r="CA58" s="100"/>
      <c r="CB58" s="122"/>
    </row>
    <row r="59" spans="1:82" x14ac:dyDescent="0.4">
      <c r="B59" s="124">
        <v>0</v>
      </c>
    </row>
  </sheetData>
  <mergeCells count="3">
    <mergeCell ref="BT50:BV50"/>
    <mergeCell ref="A48:B48"/>
    <mergeCell ref="BZ49:CB49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scale="33" orientation="landscape" r:id="rId1"/>
  <headerFooter>
    <oddHeader>&amp;C&amp;"Cambria,Gras"&amp;18CALCUL DES INTERÊTS DES MEMBRES DE LA MICROFINANCE CAMDVI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1ADED-E9DC-4EFA-8728-463BAAB55966}">
  <sheetPr codeName="Feuil41"/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16CF-D007-46D2-8773-E481E388115E}">
  <sheetPr codeName="Feuil5">
    <tabColor rgb="FF00B0F0"/>
  </sheetPr>
  <dimension ref="A1:AB51"/>
  <sheetViews>
    <sheetView tabSelected="1" showWhiteSpace="0" view="pageLayout" topLeftCell="A17" zoomScale="50" zoomScaleNormal="100" zoomScalePageLayoutView="50" workbookViewId="0">
      <selection activeCell="B2" sqref="B2:B42"/>
    </sheetView>
  </sheetViews>
  <sheetFormatPr baseColWidth="10" defaultColWidth="11.453125" defaultRowHeight="17.5" x14ac:dyDescent="0.35"/>
  <cols>
    <col min="1" max="1" width="4.1796875" style="8" customWidth="1"/>
    <col min="2" max="2" width="31.54296875" style="8" customWidth="1"/>
    <col min="3" max="3" width="16.26953125" style="8" customWidth="1"/>
    <col min="4" max="4" width="15.81640625" style="80" customWidth="1"/>
    <col min="5" max="13" width="15.81640625" style="8" customWidth="1"/>
    <col min="14" max="28" width="15.08984375" style="8" customWidth="1"/>
    <col min="29" max="16384" width="11.453125" style="8"/>
  </cols>
  <sheetData>
    <row r="1" spans="1:28" s="7" customFormat="1" ht="54" x14ac:dyDescent="0.4">
      <c r="A1" s="19" t="s">
        <v>20</v>
      </c>
      <c r="B1" s="20" t="s">
        <v>21</v>
      </c>
      <c r="C1" s="53" t="s">
        <v>185</v>
      </c>
      <c r="D1" s="215" t="s">
        <v>186</v>
      </c>
      <c r="E1" s="21">
        <v>45870</v>
      </c>
      <c r="F1" s="21">
        <v>45901</v>
      </c>
      <c r="G1" s="21">
        <v>45931</v>
      </c>
      <c r="H1" s="21">
        <v>45962</v>
      </c>
      <c r="I1" s="21">
        <v>45992</v>
      </c>
      <c r="J1" s="21">
        <v>46023</v>
      </c>
      <c r="K1" s="21">
        <v>46054</v>
      </c>
      <c r="L1" s="21">
        <v>46082</v>
      </c>
      <c r="M1" s="21">
        <v>46113</v>
      </c>
      <c r="N1" s="21">
        <v>46143</v>
      </c>
      <c r="O1" s="21">
        <v>46174</v>
      </c>
      <c r="P1" s="21">
        <v>46204</v>
      </c>
      <c r="Q1" s="21">
        <v>46235</v>
      </c>
      <c r="R1" s="21">
        <v>46266</v>
      </c>
      <c r="S1" s="21">
        <v>46296</v>
      </c>
      <c r="T1" s="21">
        <v>46327</v>
      </c>
      <c r="U1" s="21">
        <v>46357</v>
      </c>
      <c r="V1" s="21">
        <v>46388</v>
      </c>
      <c r="W1" s="21">
        <v>46419</v>
      </c>
      <c r="X1" s="21">
        <v>46447</v>
      </c>
      <c r="Y1" s="21">
        <v>46478</v>
      </c>
      <c r="Z1" s="21">
        <v>46508</v>
      </c>
      <c r="AA1" s="21">
        <v>46539</v>
      </c>
      <c r="AB1" s="21">
        <v>46569</v>
      </c>
    </row>
    <row r="2" spans="1:28" x14ac:dyDescent="0.35">
      <c r="A2" s="9">
        <v>1</v>
      </c>
      <c r="B2" s="10" t="s">
        <v>284</v>
      </c>
      <c r="C2" s="80">
        <v>1956801.7696350031</v>
      </c>
      <c r="D2" s="77">
        <v>-1000000</v>
      </c>
      <c r="E2" s="77"/>
      <c r="F2" s="77"/>
      <c r="G2" s="77"/>
      <c r="H2" s="77"/>
      <c r="I2" s="77"/>
      <c r="J2" s="77">
        <v>25000</v>
      </c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143"/>
    </row>
    <row r="3" spans="1:28" x14ac:dyDescent="0.35">
      <c r="A3" s="9">
        <v>2</v>
      </c>
      <c r="B3" s="10" t="s">
        <v>285</v>
      </c>
      <c r="C3" s="80">
        <v>270897.46969589533</v>
      </c>
      <c r="D3" s="77"/>
      <c r="E3" s="77"/>
      <c r="F3" s="77"/>
      <c r="G3" s="77">
        <v>300000</v>
      </c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143"/>
    </row>
    <row r="4" spans="1:28" x14ac:dyDescent="0.35">
      <c r="A4" s="9">
        <v>3</v>
      </c>
      <c r="B4" s="10" t="s">
        <v>286</v>
      </c>
      <c r="C4" s="80">
        <v>3308079.7542285733</v>
      </c>
      <c r="D4" s="77"/>
      <c r="E4" s="77">
        <v>700000</v>
      </c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143"/>
    </row>
    <row r="5" spans="1:28" x14ac:dyDescent="0.35">
      <c r="A5" s="9">
        <v>4</v>
      </c>
      <c r="B5" s="10" t="s">
        <v>287</v>
      </c>
      <c r="C5" s="80">
        <v>372369.7659119484</v>
      </c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143"/>
    </row>
    <row r="6" spans="1:28" x14ac:dyDescent="0.35">
      <c r="A6" s="9">
        <v>5</v>
      </c>
      <c r="B6" s="10" t="s">
        <v>288</v>
      </c>
      <c r="C6" s="80">
        <v>1393753.828487773</v>
      </c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143"/>
    </row>
    <row r="7" spans="1:28" x14ac:dyDescent="0.35">
      <c r="A7" s="9">
        <v>6</v>
      </c>
      <c r="B7" s="10" t="s">
        <v>289</v>
      </c>
      <c r="C7" s="80">
        <v>829601.83269567683</v>
      </c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143"/>
    </row>
    <row r="8" spans="1:28" x14ac:dyDescent="0.35">
      <c r="A8" s="9">
        <v>7</v>
      </c>
      <c r="B8" s="10" t="s">
        <v>290</v>
      </c>
      <c r="C8" s="80">
        <v>840018.32008010126</v>
      </c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143"/>
    </row>
    <row r="9" spans="1:28" x14ac:dyDescent="0.35">
      <c r="A9" s="9">
        <v>8</v>
      </c>
      <c r="B9" s="10" t="s">
        <v>291</v>
      </c>
      <c r="C9" s="80">
        <v>5000758.1962085813</v>
      </c>
      <c r="D9" s="77"/>
      <c r="E9" s="77"/>
      <c r="F9" s="77"/>
      <c r="G9" s="77">
        <v>1000000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143"/>
    </row>
    <row r="10" spans="1:28" x14ac:dyDescent="0.35">
      <c r="A10" s="9">
        <v>9</v>
      </c>
      <c r="B10" s="10" t="s">
        <v>292</v>
      </c>
      <c r="C10" s="80">
        <v>769026.95372199686</v>
      </c>
      <c r="D10" s="77">
        <v>-230000</v>
      </c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143"/>
    </row>
    <row r="11" spans="1:28" x14ac:dyDescent="0.35">
      <c r="A11" s="9">
        <v>10</v>
      </c>
      <c r="B11" s="10" t="s">
        <v>293</v>
      </c>
      <c r="C11" s="80">
        <v>477772.0916201481</v>
      </c>
      <c r="D11" s="77"/>
      <c r="E11" s="77"/>
      <c r="F11" s="77">
        <v>25000</v>
      </c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143"/>
    </row>
    <row r="12" spans="1:28" x14ac:dyDescent="0.35">
      <c r="A12" s="9">
        <v>11</v>
      </c>
      <c r="B12" s="10" t="s">
        <v>294</v>
      </c>
      <c r="C12" s="80">
        <v>1066673.4389811987</v>
      </c>
      <c r="D12" s="77"/>
      <c r="E12" s="77"/>
      <c r="F12" s="77">
        <v>20000</v>
      </c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143"/>
    </row>
    <row r="13" spans="1:28" x14ac:dyDescent="0.35">
      <c r="A13" s="9">
        <v>12</v>
      </c>
      <c r="B13" s="10" t="s">
        <v>295</v>
      </c>
      <c r="C13" s="80">
        <v>472273.11184729106</v>
      </c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143"/>
    </row>
    <row r="14" spans="1:28" x14ac:dyDescent="0.35">
      <c r="A14" s="9">
        <v>13</v>
      </c>
      <c r="B14" s="10" t="s">
        <v>296</v>
      </c>
      <c r="C14" s="80">
        <v>1208778.2072738011</v>
      </c>
      <c r="D14" s="77"/>
      <c r="E14" s="77">
        <v>1000000</v>
      </c>
      <c r="F14" s="77"/>
      <c r="G14" s="77">
        <v>300000</v>
      </c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143"/>
    </row>
    <row r="15" spans="1:28" x14ac:dyDescent="0.35">
      <c r="A15" s="9">
        <v>14</v>
      </c>
      <c r="B15" s="10" t="s">
        <v>297</v>
      </c>
      <c r="C15" s="80">
        <v>514154.3614610465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143"/>
    </row>
    <row r="16" spans="1:28" x14ac:dyDescent="0.35">
      <c r="A16" s="9">
        <v>15</v>
      </c>
      <c r="B16" s="10" t="s">
        <v>298</v>
      </c>
      <c r="C16" s="80">
        <v>747258.38364600274</v>
      </c>
      <c r="D16" s="77"/>
      <c r="E16" s="77">
        <v>370000</v>
      </c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143"/>
    </row>
    <row r="17" spans="1:28" x14ac:dyDescent="0.35">
      <c r="A17" s="9">
        <v>16</v>
      </c>
      <c r="B17" s="10" t="s">
        <v>299</v>
      </c>
      <c r="C17" s="80">
        <v>99669.598090254542</v>
      </c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143"/>
    </row>
    <row r="18" spans="1:28" x14ac:dyDescent="0.35">
      <c r="A18" s="9">
        <v>17</v>
      </c>
      <c r="B18" s="10" t="s">
        <v>300</v>
      </c>
      <c r="C18" s="80">
        <v>1118757.7047353941</v>
      </c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80"/>
      <c r="S18" s="77"/>
      <c r="T18" s="77"/>
      <c r="U18" s="77"/>
      <c r="V18" s="77"/>
      <c r="W18" s="77"/>
      <c r="X18" s="77"/>
      <c r="Y18" s="77"/>
      <c r="Z18" s="77"/>
      <c r="AA18" s="77"/>
      <c r="AB18" s="143"/>
    </row>
    <row r="19" spans="1:28" x14ac:dyDescent="0.35">
      <c r="A19" s="9">
        <v>18</v>
      </c>
      <c r="B19" s="10" t="s">
        <v>301</v>
      </c>
      <c r="C19" s="80">
        <v>299377.17569474981</v>
      </c>
      <c r="D19" s="77"/>
      <c r="E19" s="77"/>
      <c r="F19" s="77"/>
      <c r="G19" s="77"/>
      <c r="H19" s="77">
        <v>400000</v>
      </c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143"/>
    </row>
    <row r="20" spans="1:28" x14ac:dyDescent="0.35">
      <c r="A20" s="9">
        <v>19</v>
      </c>
      <c r="B20" s="10" t="s">
        <v>302</v>
      </c>
      <c r="C20" s="80">
        <v>159938.42858418709</v>
      </c>
      <c r="D20" s="77"/>
      <c r="E20" s="77"/>
      <c r="F20" s="77">
        <v>500000</v>
      </c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143"/>
    </row>
    <row r="21" spans="1:28" x14ac:dyDescent="0.35">
      <c r="A21" s="9">
        <v>20</v>
      </c>
      <c r="B21" s="10" t="s">
        <v>303</v>
      </c>
      <c r="C21" s="80">
        <v>218369.91325211144</v>
      </c>
      <c r="D21" s="138"/>
      <c r="E21" s="138"/>
      <c r="F21" s="138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143"/>
    </row>
    <row r="22" spans="1:28" x14ac:dyDescent="0.35">
      <c r="A22" s="9">
        <v>21</v>
      </c>
      <c r="B22" s="10" t="s">
        <v>304</v>
      </c>
      <c r="C22" s="80">
        <v>304027.6920330862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143"/>
    </row>
    <row r="23" spans="1:28" x14ac:dyDescent="0.35">
      <c r="A23" s="9">
        <v>22</v>
      </c>
      <c r="B23" s="10" t="s">
        <v>305</v>
      </c>
      <c r="C23" s="80">
        <v>907686.42638101254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143"/>
    </row>
    <row r="24" spans="1:28" x14ac:dyDescent="0.35">
      <c r="A24" s="9">
        <v>23</v>
      </c>
      <c r="B24" s="10" t="s">
        <v>306</v>
      </c>
      <c r="C24" s="80">
        <v>54646.514162173895</v>
      </c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143"/>
    </row>
    <row r="25" spans="1:28" x14ac:dyDescent="0.35">
      <c r="A25" s="9">
        <v>24</v>
      </c>
      <c r="B25" s="10" t="s">
        <v>307</v>
      </c>
      <c r="C25" s="77">
        <v>162676.96947696092</v>
      </c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143"/>
    </row>
    <row r="26" spans="1:28" x14ac:dyDescent="0.35">
      <c r="A26" s="9">
        <v>25</v>
      </c>
      <c r="B26" s="10" t="s">
        <v>308</v>
      </c>
      <c r="C26" s="77">
        <v>696021.67479701887</v>
      </c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143"/>
    </row>
    <row r="27" spans="1:28" x14ac:dyDescent="0.35">
      <c r="A27" s="9">
        <v>26</v>
      </c>
      <c r="B27" s="10" t="s">
        <v>309</v>
      </c>
      <c r="C27" s="77">
        <v>290762.86257526511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143"/>
    </row>
    <row r="28" spans="1:28" x14ac:dyDescent="0.35">
      <c r="A28" s="9">
        <v>27</v>
      </c>
      <c r="B28" s="10" t="s">
        <v>310</v>
      </c>
      <c r="C28" s="77">
        <v>29035.526051986621</v>
      </c>
      <c r="D28" s="77"/>
      <c r="E28" s="77"/>
      <c r="F28" s="77"/>
      <c r="G28" s="77"/>
      <c r="H28" s="77"/>
      <c r="I28" s="77">
        <v>25000</v>
      </c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143"/>
    </row>
    <row r="29" spans="1:28" x14ac:dyDescent="0.35">
      <c r="A29" s="9">
        <v>28</v>
      </c>
      <c r="B29" s="10" t="s">
        <v>311</v>
      </c>
      <c r="C29" s="77">
        <v>147241.08854495053</v>
      </c>
      <c r="D29" s="77"/>
      <c r="E29" s="77">
        <v>20000</v>
      </c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143"/>
    </row>
    <row r="30" spans="1:28" x14ac:dyDescent="0.35">
      <c r="A30" s="9">
        <v>29</v>
      </c>
      <c r="B30" s="10" t="s">
        <v>312</v>
      </c>
      <c r="C30" s="77">
        <v>2585156.5194317778</v>
      </c>
      <c r="D30" s="77">
        <v>-1000000</v>
      </c>
      <c r="E30" s="77"/>
      <c r="F30" s="77"/>
      <c r="G30" s="77"/>
      <c r="H30" s="77"/>
      <c r="I30" s="77">
        <v>440000</v>
      </c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143"/>
    </row>
    <row r="31" spans="1:28" x14ac:dyDescent="0.35">
      <c r="A31" s="9">
        <v>30</v>
      </c>
      <c r="B31" s="10" t="s">
        <v>313</v>
      </c>
      <c r="C31" s="77">
        <v>1028984.0862869273</v>
      </c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143"/>
    </row>
    <row r="32" spans="1:28" x14ac:dyDescent="0.35">
      <c r="A32" s="9">
        <v>31</v>
      </c>
      <c r="B32" s="10" t="s">
        <v>314</v>
      </c>
      <c r="C32" s="77">
        <v>1236027.4094442949</v>
      </c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143"/>
    </row>
    <row r="33" spans="1:28" x14ac:dyDescent="0.35">
      <c r="A33" s="9">
        <v>32</v>
      </c>
      <c r="B33" s="10" t="s">
        <v>315</v>
      </c>
      <c r="C33" s="77">
        <v>260099.70422273286</v>
      </c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143"/>
    </row>
    <row r="34" spans="1:28" x14ac:dyDescent="0.35">
      <c r="A34" s="9">
        <v>33</v>
      </c>
      <c r="B34" s="10" t="s">
        <v>316</v>
      </c>
      <c r="C34" s="77">
        <v>87809.359816982498</v>
      </c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143"/>
    </row>
    <row r="35" spans="1:28" x14ac:dyDescent="0.35">
      <c r="A35" s="9">
        <v>34</v>
      </c>
      <c r="B35" s="10" t="s">
        <v>317</v>
      </c>
      <c r="C35" s="77">
        <v>2514536.0314793047</v>
      </c>
      <c r="D35" s="77"/>
      <c r="E35" s="77"/>
      <c r="F35" s="77"/>
      <c r="G35" s="77">
        <v>500000</v>
      </c>
      <c r="H35" s="77">
        <v>700000</v>
      </c>
      <c r="I35" s="77">
        <v>300000</v>
      </c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143"/>
    </row>
    <row r="36" spans="1:28" x14ac:dyDescent="0.35">
      <c r="A36" s="9">
        <v>35</v>
      </c>
      <c r="B36" s="10" t="s">
        <v>318</v>
      </c>
      <c r="C36" s="77">
        <v>121360.80944379144</v>
      </c>
      <c r="D36" s="77"/>
      <c r="E36" s="77">
        <v>380000</v>
      </c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143"/>
    </row>
    <row r="37" spans="1:28" x14ac:dyDescent="0.35">
      <c r="A37" s="193">
        <v>36</v>
      </c>
      <c r="B37" s="10" t="s">
        <v>319</v>
      </c>
      <c r="C37" s="213"/>
      <c r="D37" s="213"/>
      <c r="E37" s="213">
        <v>2040000</v>
      </c>
      <c r="F37" s="213"/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Y37" s="213"/>
      <c r="Z37" s="213"/>
      <c r="AA37" s="213"/>
      <c r="AB37" s="143"/>
    </row>
    <row r="38" spans="1:28" x14ac:dyDescent="0.35">
      <c r="A38" s="9">
        <v>37</v>
      </c>
      <c r="B38" s="10" t="s">
        <v>320</v>
      </c>
      <c r="C38" s="213"/>
      <c r="D38" s="213"/>
      <c r="E38" s="213">
        <v>20000</v>
      </c>
      <c r="F38" s="213">
        <v>115000</v>
      </c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143"/>
    </row>
    <row r="39" spans="1:28" x14ac:dyDescent="0.35">
      <c r="A39" s="193">
        <v>38</v>
      </c>
      <c r="B39" s="10" t="s">
        <v>321</v>
      </c>
      <c r="C39" s="213"/>
      <c r="D39" s="213"/>
      <c r="E39" s="213">
        <v>5000</v>
      </c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  <c r="AA39" s="213"/>
      <c r="AB39" s="143"/>
    </row>
    <row r="40" spans="1:28" x14ac:dyDescent="0.35">
      <c r="A40" s="193">
        <v>39</v>
      </c>
      <c r="B40" s="10" t="s">
        <v>322</v>
      </c>
      <c r="C40" s="213"/>
      <c r="D40" s="213"/>
      <c r="E40" s="213">
        <v>360000</v>
      </c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  <c r="AA40" s="213"/>
      <c r="AB40" s="214"/>
    </row>
    <row r="41" spans="1:28" x14ac:dyDescent="0.35">
      <c r="A41" s="193">
        <v>40</v>
      </c>
      <c r="B41" s="10" t="s">
        <v>323</v>
      </c>
      <c r="C41" s="213"/>
      <c r="D41" s="213"/>
      <c r="E41" s="213">
        <v>120000</v>
      </c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  <c r="AA41" s="213"/>
      <c r="AB41" s="214"/>
    </row>
    <row r="42" spans="1:28" x14ac:dyDescent="0.35">
      <c r="A42" s="193">
        <v>41</v>
      </c>
      <c r="B42" s="10" t="s">
        <v>324</v>
      </c>
      <c r="C42" s="213"/>
      <c r="D42" s="213"/>
      <c r="E42" s="213"/>
      <c r="F42" s="213"/>
      <c r="G42" s="213"/>
      <c r="H42" s="213"/>
      <c r="I42" s="213"/>
      <c r="J42" s="213">
        <v>120000</v>
      </c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  <c r="AA42" s="213"/>
      <c r="AB42" s="214"/>
    </row>
    <row r="43" spans="1:28" x14ac:dyDescent="0.35">
      <c r="A43" s="193"/>
      <c r="B43" s="212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  <c r="AA43" s="213"/>
      <c r="AB43" s="214"/>
    </row>
    <row r="44" spans="1:28" x14ac:dyDescent="0.35">
      <c r="A44" s="193"/>
      <c r="B44" s="212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  <c r="AA44" s="213"/>
      <c r="AB44" s="214"/>
    </row>
    <row r="45" spans="1:28" x14ac:dyDescent="0.35">
      <c r="A45" s="193"/>
      <c r="B45" s="212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  <c r="AA45" s="213"/>
      <c r="AB45" s="214"/>
    </row>
    <row r="46" spans="1:28" x14ac:dyDescent="0.35">
      <c r="A46" s="193"/>
      <c r="B46" s="212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4"/>
    </row>
    <row r="47" spans="1:28" x14ac:dyDescent="0.35">
      <c r="A47" s="193"/>
      <c r="B47" s="212"/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  <c r="Z47" s="213"/>
      <c r="AA47" s="213"/>
      <c r="AB47" s="214"/>
    </row>
    <row r="48" spans="1:28" s="7" customFormat="1" ht="18.5" thickBot="1" x14ac:dyDescent="0.45">
      <c r="A48" s="235" t="s">
        <v>23</v>
      </c>
      <c r="B48" s="236"/>
      <c r="C48" s="12">
        <f>SUM(C2:C47)</f>
        <v>31550402.98</v>
      </c>
      <c r="D48" s="12">
        <f t="shared" ref="D48:AB48" si="0">SUM(D2:D47)</f>
        <v>-2230000</v>
      </c>
      <c r="E48" s="12">
        <f t="shared" si="0"/>
        <v>5015000</v>
      </c>
      <c r="F48" s="12">
        <f t="shared" si="0"/>
        <v>660000</v>
      </c>
      <c r="G48" s="12">
        <f t="shared" si="0"/>
        <v>2100000</v>
      </c>
      <c r="H48" s="12">
        <f t="shared" si="0"/>
        <v>1100000</v>
      </c>
      <c r="I48" s="12">
        <f t="shared" si="0"/>
        <v>765000</v>
      </c>
      <c r="J48" s="12">
        <f t="shared" si="0"/>
        <v>145000</v>
      </c>
      <c r="K48" s="12">
        <f t="shared" si="0"/>
        <v>0</v>
      </c>
      <c r="L48" s="12">
        <f t="shared" si="0"/>
        <v>0</v>
      </c>
      <c r="M48" s="12">
        <f t="shared" si="0"/>
        <v>0</v>
      </c>
      <c r="N48" s="12">
        <f t="shared" si="0"/>
        <v>0</v>
      </c>
      <c r="O48" s="12">
        <f t="shared" si="0"/>
        <v>0</v>
      </c>
      <c r="P48" s="12">
        <f t="shared" si="0"/>
        <v>0</v>
      </c>
      <c r="Q48" s="12">
        <f t="shared" si="0"/>
        <v>0</v>
      </c>
      <c r="R48" s="12">
        <f t="shared" si="0"/>
        <v>0</v>
      </c>
      <c r="S48" s="12">
        <f t="shared" si="0"/>
        <v>0</v>
      </c>
      <c r="T48" s="12">
        <f t="shared" si="0"/>
        <v>0</v>
      </c>
      <c r="U48" s="12">
        <f t="shared" si="0"/>
        <v>0</v>
      </c>
      <c r="V48" s="12">
        <f t="shared" si="0"/>
        <v>0</v>
      </c>
      <c r="W48" s="12">
        <f t="shared" si="0"/>
        <v>0</v>
      </c>
      <c r="X48" s="12">
        <f t="shared" si="0"/>
        <v>0</v>
      </c>
      <c r="Y48" s="12">
        <f t="shared" si="0"/>
        <v>0</v>
      </c>
      <c r="Z48" s="12">
        <f t="shared" si="0"/>
        <v>0</v>
      </c>
      <c r="AA48" s="12">
        <f t="shared" si="0"/>
        <v>0</v>
      </c>
      <c r="AB48" s="12">
        <f t="shared" si="0"/>
        <v>0</v>
      </c>
    </row>
    <row r="49" spans="3:17" x14ac:dyDescent="0.35">
      <c r="C49" s="66"/>
      <c r="E49" s="66"/>
    </row>
    <row r="50" spans="3:17" x14ac:dyDescent="0.35">
      <c r="E50" s="66"/>
    </row>
    <row r="51" spans="3:17" x14ac:dyDescent="0.35">
      <c r="Q51" s="66"/>
    </row>
  </sheetData>
  <mergeCells count="1">
    <mergeCell ref="A48:B48"/>
  </mergeCells>
  <phoneticPr fontId="12" type="noConversion"/>
  <pageMargins left="0.7" right="0.7" top="0.75" bottom="0.75" header="0.3" footer="0.3"/>
  <pageSetup paperSize="9" scale="30" orientation="landscape" r:id="rId1"/>
  <headerFooter>
    <oddHeader>&amp;C&amp;"Cambria,Gras"&amp;18CUMUL DES EPARGNES DANS LA MICROFINANCE CAMDVI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DAD0-817E-447D-B78F-5FEF5F4C047E}">
  <sheetPr codeName="Feuil6">
    <tabColor rgb="FF002060"/>
  </sheetPr>
  <dimension ref="A1:F48"/>
  <sheetViews>
    <sheetView view="pageLayout" topLeftCell="A16" zoomScale="47" zoomScaleNormal="100" zoomScalePageLayoutView="47" workbookViewId="0">
      <selection activeCell="D54" sqref="D54"/>
    </sheetView>
  </sheetViews>
  <sheetFormatPr baseColWidth="10" defaultRowHeight="23.5" x14ac:dyDescent="0.55000000000000004"/>
  <cols>
    <col min="1" max="1" width="8.81640625" style="223" customWidth="1"/>
    <col min="2" max="2" width="61.08984375" style="223" customWidth="1"/>
    <col min="3" max="3" width="60" style="223" customWidth="1"/>
    <col min="4" max="4" width="11.453125" style="6"/>
    <col min="5" max="5" width="11.453125" style="14"/>
  </cols>
  <sheetData>
    <row r="1" spans="1:6" s="17" customFormat="1" ht="24" thickBot="1" x14ac:dyDescent="0.6">
      <c r="A1" s="216" t="s">
        <v>20</v>
      </c>
      <c r="B1" s="217" t="s">
        <v>21</v>
      </c>
      <c r="C1" s="218" t="s">
        <v>22</v>
      </c>
      <c r="D1" s="16"/>
      <c r="E1" s="18"/>
    </row>
    <row r="2" spans="1:6" ht="24" thickBot="1" x14ac:dyDescent="0.6">
      <c r="A2" s="219">
        <f>IF(epargne_mensuelle!A2="","",epargne_mensuelle!A2)</f>
        <v>1</v>
      </c>
      <c r="B2" s="220" t="str">
        <f>IF(epargne_mensuelle!B2="","",epargne_mensuelle!B2)</f>
        <v>ACTIONNIRE1</v>
      </c>
      <c r="C2" s="221">
        <f>IF(A2="","",SUM(epargne_mensuelle!C2:AB2))</f>
        <v>981801.76963500306</v>
      </c>
    </row>
    <row r="3" spans="1:6" ht="24" thickBot="1" x14ac:dyDescent="0.6">
      <c r="A3" s="219">
        <f>IF(epargne_mensuelle!A3="","",epargne_mensuelle!A3)</f>
        <v>2</v>
      </c>
      <c r="B3" s="220" t="str">
        <f>IF(epargne_mensuelle!B3="","",epargne_mensuelle!B3)</f>
        <v>ACTIONNIRE2</v>
      </c>
      <c r="C3" s="221">
        <f>IF(A3="","",SUM(epargne_mensuelle!C3:AB3))</f>
        <v>570897.46969589533</v>
      </c>
      <c r="F3" s="79"/>
    </row>
    <row r="4" spans="1:6" ht="24" thickBot="1" x14ac:dyDescent="0.6">
      <c r="A4" s="219">
        <f>IF(epargne_mensuelle!A4="","",epargne_mensuelle!A4)</f>
        <v>3</v>
      </c>
      <c r="B4" s="220" t="str">
        <f>IF(epargne_mensuelle!B4="","",epargne_mensuelle!B4)</f>
        <v>ACTIONNIRE3</v>
      </c>
      <c r="C4" s="221">
        <f>IF(A4="","",SUM(epargne_mensuelle!C4:AB4))</f>
        <v>4008079.7542285733</v>
      </c>
    </row>
    <row r="5" spans="1:6" ht="24" thickBot="1" x14ac:dyDescent="0.6">
      <c r="A5" s="219">
        <f>IF(epargne_mensuelle!A5="","",epargne_mensuelle!A5)</f>
        <v>4</v>
      </c>
      <c r="B5" s="220" t="str">
        <f>IF(epargne_mensuelle!B5="","",epargne_mensuelle!B5)</f>
        <v>ACTIONNIRE4</v>
      </c>
      <c r="C5" s="221">
        <f>IF(A5="","",SUM(epargne_mensuelle!C5:AB5))</f>
        <v>372369.7659119484</v>
      </c>
    </row>
    <row r="6" spans="1:6" ht="24" thickBot="1" x14ac:dyDescent="0.6">
      <c r="A6" s="219">
        <f>IF(epargne_mensuelle!A6="","",epargne_mensuelle!A6)</f>
        <v>5</v>
      </c>
      <c r="B6" s="220" t="str">
        <f>IF(epargne_mensuelle!B6="","",epargne_mensuelle!B6)</f>
        <v>ACTIONNIRE5</v>
      </c>
      <c r="C6" s="221">
        <f>IF(A6="","",SUM(epargne_mensuelle!C6:AB6))</f>
        <v>1393753.828487773</v>
      </c>
    </row>
    <row r="7" spans="1:6" ht="24" thickBot="1" x14ac:dyDescent="0.6">
      <c r="A7" s="219">
        <f>IF(epargne_mensuelle!A7="","",epargne_mensuelle!A7)</f>
        <v>6</v>
      </c>
      <c r="B7" s="220" t="str">
        <f>IF(epargne_mensuelle!B7="","",epargne_mensuelle!B7)</f>
        <v>ACTIONNIRE6</v>
      </c>
      <c r="C7" s="221">
        <f>IF(A7="","",SUM(epargne_mensuelle!C7:AB7))</f>
        <v>829601.83269567683</v>
      </c>
    </row>
    <row r="8" spans="1:6" ht="24" thickBot="1" x14ac:dyDescent="0.6">
      <c r="A8" s="219">
        <f>IF(epargne_mensuelle!A8="","",epargne_mensuelle!A8)</f>
        <v>7</v>
      </c>
      <c r="B8" s="220" t="str">
        <f>IF(epargne_mensuelle!B8="","",epargne_mensuelle!B8)</f>
        <v>ACTIONNIRE7</v>
      </c>
      <c r="C8" s="221">
        <f>IF(A8="","",SUM(epargne_mensuelle!C8:AB8))</f>
        <v>840018.32008010126</v>
      </c>
    </row>
    <row r="9" spans="1:6" ht="24" thickBot="1" x14ac:dyDescent="0.6">
      <c r="A9" s="219">
        <f>IF(epargne_mensuelle!A9="","",epargne_mensuelle!A9)</f>
        <v>8</v>
      </c>
      <c r="B9" s="220" t="str">
        <f>IF(epargne_mensuelle!B9="","",epargne_mensuelle!B9)</f>
        <v>ACTIONNIRE8</v>
      </c>
      <c r="C9" s="221">
        <f>IF(A9="","",SUM(epargne_mensuelle!C9:AB9))</f>
        <v>6000758.1962085813</v>
      </c>
    </row>
    <row r="10" spans="1:6" ht="24" thickBot="1" x14ac:dyDescent="0.6">
      <c r="A10" s="219">
        <f>IF(epargne_mensuelle!A10="","",epargne_mensuelle!A10)</f>
        <v>9</v>
      </c>
      <c r="B10" s="220" t="str">
        <f>IF(epargne_mensuelle!B10="","",epargne_mensuelle!B10)</f>
        <v>ACTIONNIRE9</v>
      </c>
      <c r="C10" s="221">
        <f>IF(A10="","",SUM(epargne_mensuelle!C10:AB10))</f>
        <v>539026.95372199686</v>
      </c>
    </row>
    <row r="11" spans="1:6" ht="24" thickBot="1" x14ac:dyDescent="0.6">
      <c r="A11" s="219">
        <f>IF(epargne_mensuelle!A11="","",epargne_mensuelle!A11)</f>
        <v>10</v>
      </c>
      <c r="B11" s="220" t="str">
        <f>IF(epargne_mensuelle!B11="","",epargne_mensuelle!B11)</f>
        <v>ACTIONNIRE10</v>
      </c>
      <c r="C11" s="221">
        <f>IF(A11="","",SUM(epargne_mensuelle!C11:AB11))</f>
        <v>502772.0916201481</v>
      </c>
    </row>
    <row r="12" spans="1:6" ht="24" thickBot="1" x14ac:dyDescent="0.6">
      <c r="A12" s="219">
        <f>IF(epargne_mensuelle!A12="","",epargne_mensuelle!A12)</f>
        <v>11</v>
      </c>
      <c r="B12" s="220" t="str">
        <f>IF(epargne_mensuelle!B12="","",epargne_mensuelle!B12)</f>
        <v>ACTIONNIRE11</v>
      </c>
      <c r="C12" s="221">
        <f>IF(A12="","",SUM(epargne_mensuelle!C12:AB12))</f>
        <v>1086673.4389811987</v>
      </c>
    </row>
    <row r="13" spans="1:6" ht="24" thickBot="1" x14ac:dyDescent="0.6">
      <c r="A13" s="219">
        <f>IF(epargne_mensuelle!A13="","",epargne_mensuelle!A13)</f>
        <v>12</v>
      </c>
      <c r="B13" s="220" t="str">
        <f>IF(epargne_mensuelle!B13="","",epargne_mensuelle!B13)</f>
        <v>ACTIONNIRE12</v>
      </c>
      <c r="C13" s="221">
        <f>IF(A13="","",SUM(epargne_mensuelle!C13:AB13))</f>
        <v>472273.11184729106</v>
      </c>
    </row>
    <row r="14" spans="1:6" ht="24" thickBot="1" x14ac:dyDescent="0.6">
      <c r="A14" s="219">
        <f>IF(epargne_mensuelle!A14="","",epargne_mensuelle!A14)</f>
        <v>13</v>
      </c>
      <c r="B14" s="220" t="str">
        <f>IF(epargne_mensuelle!B14="","",epargne_mensuelle!B14)</f>
        <v>ACTIONNIRE13</v>
      </c>
      <c r="C14" s="221">
        <f>IF(A14="","",SUM(epargne_mensuelle!C14:AB14))</f>
        <v>2508778.2072738009</v>
      </c>
    </row>
    <row r="15" spans="1:6" ht="24" thickBot="1" x14ac:dyDescent="0.6">
      <c r="A15" s="219">
        <f>IF(epargne_mensuelle!A15="","",epargne_mensuelle!A15)</f>
        <v>14</v>
      </c>
      <c r="B15" s="220" t="str">
        <f>IF(epargne_mensuelle!B15="","",epargne_mensuelle!B15)</f>
        <v>ACTIONNIRE14</v>
      </c>
      <c r="C15" s="221">
        <f>IF(A15="","",SUM(epargne_mensuelle!C15:AB15))</f>
        <v>514154.3614610465</v>
      </c>
    </row>
    <row r="16" spans="1:6" ht="24" thickBot="1" x14ac:dyDescent="0.6">
      <c r="A16" s="219">
        <f>IF(epargne_mensuelle!A16="","",epargne_mensuelle!A16)</f>
        <v>15</v>
      </c>
      <c r="B16" s="220" t="str">
        <f>IF(epargne_mensuelle!B16="","",epargne_mensuelle!B16)</f>
        <v>ACTIONNIRE15</v>
      </c>
      <c r="C16" s="221">
        <f>IF(A16="","",SUM(epargne_mensuelle!C16:AB16))</f>
        <v>1117258.3836460027</v>
      </c>
    </row>
    <row r="17" spans="1:3" ht="24" thickBot="1" x14ac:dyDescent="0.6">
      <c r="A17" s="219">
        <f>IF(epargne_mensuelle!A17="","",epargne_mensuelle!A17)</f>
        <v>16</v>
      </c>
      <c r="B17" s="220" t="str">
        <f>IF(epargne_mensuelle!B17="","",epargne_mensuelle!B17)</f>
        <v>ACTIONNIRE16</v>
      </c>
      <c r="C17" s="221">
        <f>IF(A17="","",SUM(epargne_mensuelle!C17:AB17))</f>
        <v>99669.598090254542</v>
      </c>
    </row>
    <row r="18" spans="1:3" ht="24" thickBot="1" x14ac:dyDescent="0.6">
      <c r="A18" s="219">
        <f>IF(epargne_mensuelle!A18="","",epargne_mensuelle!A18)</f>
        <v>17</v>
      </c>
      <c r="B18" s="220" t="str">
        <f>IF(epargne_mensuelle!B18="","",epargne_mensuelle!B18)</f>
        <v>ACTIONNIRE17</v>
      </c>
      <c r="C18" s="221">
        <f>IF(A18="","",SUM(epargne_mensuelle!C18:AB18))</f>
        <v>1118757.7047353941</v>
      </c>
    </row>
    <row r="19" spans="1:3" ht="24" thickBot="1" x14ac:dyDescent="0.6">
      <c r="A19" s="219">
        <f>IF(epargne_mensuelle!A19="","",epargne_mensuelle!A19)</f>
        <v>18</v>
      </c>
      <c r="B19" s="220" t="str">
        <f>IF(epargne_mensuelle!B19="","",epargne_mensuelle!B19)</f>
        <v>ACTIONNIRE18</v>
      </c>
      <c r="C19" s="221">
        <f>IF(A19="","",SUM(epargne_mensuelle!C19:AB19))</f>
        <v>699377.17569474981</v>
      </c>
    </row>
    <row r="20" spans="1:3" ht="24" thickBot="1" x14ac:dyDescent="0.6">
      <c r="A20" s="219">
        <f>IF(epargne_mensuelle!A20="","",epargne_mensuelle!A20)</f>
        <v>19</v>
      </c>
      <c r="B20" s="220" t="str">
        <f>IF(epargne_mensuelle!B20="","",epargne_mensuelle!B20)</f>
        <v>ACTIONNIRE19</v>
      </c>
      <c r="C20" s="221">
        <f>IF(A20="","",SUM(epargne_mensuelle!C20:AB20))</f>
        <v>659938.42858418706</v>
      </c>
    </row>
    <row r="21" spans="1:3" ht="24" thickBot="1" x14ac:dyDescent="0.6">
      <c r="A21" s="219">
        <f>IF(epargne_mensuelle!A21="","",epargne_mensuelle!A21)</f>
        <v>20</v>
      </c>
      <c r="B21" s="220" t="str">
        <f>IF(epargne_mensuelle!B21="","",epargne_mensuelle!B21)</f>
        <v>ACTIONNIRE20</v>
      </c>
      <c r="C21" s="221">
        <f>IF(A21="","",SUM(epargne_mensuelle!C21:AB21))</f>
        <v>218369.91325211144</v>
      </c>
    </row>
    <row r="22" spans="1:3" ht="24" thickBot="1" x14ac:dyDescent="0.6">
      <c r="A22" s="219">
        <f>IF(epargne_mensuelle!A22="","",epargne_mensuelle!A22)</f>
        <v>21</v>
      </c>
      <c r="B22" s="220" t="str">
        <f>IF(epargne_mensuelle!B22="","",epargne_mensuelle!B22)</f>
        <v>ACTIONNIRE21</v>
      </c>
      <c r="C22" s="221">
        <f>IF(A22="","",SUM(epargne_mensuelle!C22:AB22))</f>
        <v>304027.6920330862</v>
      </c>
    </row>
    <row r="23" spans="1:3" ht="24" thickBot="1" x14ac:dyDescent="0.6">
      <c r="A23" s="219">
        <f>IF(epargne_mensuelle!A23="","",epargne_mensuelle!A23)</f>
        <v>22</v>
      </c>
      <c r="B23" s="220" t="str">
        <f>IF(epargne_mensuelle!B23="","",epargne_mensuelle!B23)</f>
        <v>ACTIONNIRE22</v>
      </c>
      <c r="C23" s="221">
        <f>IF(A23="","",SUM(epargne_mensuelle!C23:AB23))</f>
        <v>907686.42638101254</v>
      </c>
    </row>
    <row r="24" spans="1:3" ht="24" thickBot="1" x14ac:dyDescent="0.6">
      <c r="A24" s="219">
        <f>IF(epargne_mensuelle!A24="","",epargne_mensuelle!A24)</f>
        <v>23</v>
      </c>
      <c r="B24" s="220" t="str">
        <f>IF(epargne_mensuelle!B24="","",epargne_mensuelle!B24)</f>
        <v>ACTIONNIRE23</v>
      </c>
      <c r="C24" s="221">
        <f>IF(A24="","",SUM(epargne_mensuelle!C24:AB24))</f>
        <v>54646.514162173895</v>
      </c>
    </row>
    <row r="25" spans="1:3" ht="24" thickBot="1" x14ac:dyDescent="0.6">
      <c r="A25" s="219">
        <f>IF(epargne_mensuelle!A25="","",epargne_mensuelle!A25)</f>
        <v>24</v>
      </c>
      <c r="B25" s="220" t="str">
        <f>IF(epargne_mensuelle!B25="","",epargne_mensuelle!B25)</f>
        <v>ACTIONNIRE24</v>
      </c>
      <c r="C25" s="221">
        <f>IF(A25="","",SUM(epargne_mensuelle!C25:AB25))</f>
        <v>162676.96947696092</v>
      </c>
    </row>
    <row r="26" spans="1:3" ht="24" thickBot="1" x14ac:dyDescent="0.6">
      <c r="A26" s="219">
        <f>IF(epargne_mensuelle!A26="","",epargne_mensuelle!A26)</f>
        <v>25</v>
      </c>
      <c r="B26" s="220" t="str">
        <f>IF(epargne_mensuelle!B26="","",epargne_mensuelle!B26)</f>
        <v>ACTIONNIRE25</v>
      </c>
      <c r="C26" s="221">
        <f>IF(A26="","",SUM(epargne_mensuelle!C26:AB26))</f>
        <v>696021.67479701887</v>
      </c>
    </row>
    <row r="27" spans="1:3" ht="24" thickBot="1" x14ac:dyDescent="0.6">
      <c r="A27" s="219">
        <f>IF(epargne_mensuelle!A27="","",epargne_mensuelle!A27)</f>
        <v>26</v>
      </c>
      <c r="B27" s="220" t="str">
        <f>IF(epargne_mensuelle!B27="","",epargne_mensuelle!B27)</f>
        <v>ACTIONNIRE26</v>
      </c>
      <c r="C27" s="221">
        <f>IF(A27="","",SUM(epargne_mensuelle!C27:AB27))</f>
        <v>290762.86257526511</v>
      </c>
    </row>
    <row r="28" spans="1:3" ht="24" thickBot="1" x14ac:dyDescent="0.6">
      <c r="A28" s="219">
        <f>IF(epargne_mensuelle!A28="","",epargne_mensuelle!A28)</f>
        <v>27</v>
      </c>
      <c r="B28" s="220" t="str">
        <f>IF(epargne_mensuelle!B28="","",epargne_mensuelle!B28)</f>
        <v>ACTIONNIRE27</v>
      </c>
      <c r="C28" s="221">
        <f>IF(A28="","",SUM(epargne_mensuelle!C28:AB28))</f>
        <v>54035.526051986621</v>
      </c>
    </row>
    <row r="29" spans="1:3" ht="24" thickBot="1" x14ac:dyDescent="0.6">
      <c r="A29" s="219">
        <f>IF(epargne_mensuelle!A29="","",epargne_mensuelle!A29)</f>
        <v>28</v>
      </c>
      <c r="B29" s="220" t="str">
        <f>IF(epargne_mensuelle!B29="","",epargne_mensuelle!B29)</f>
        <v>ACTIONNIRE28</v>
      </c>
      <c r="C29" s="221">
        <f>IF(A29="","",SUM(epargne_mensuelle!C29:AB29))</f>
        <v>167241.08854495053</v>
      </c>
    </row>
    <row r="30" spans="1:3" ht="24" thickBot="1" x14ac:dyDescent="0.6">
      <c r="A30" s="219">
        <f>IF(epargne_mensuelle!A30="","",epargne_mensuelle!A30)</f>
        <v>29</v>
      </c>
      <c r="B30" s="220" t="str">
        <f>IF(epargne_mensuelle!B30="","",epargne_mensuelle!B30)</f>
        <v>ACTIONNIRE29</v>
      </c>
      <c r="C30" s="221">
        <f>IF(A30="","",SUM(epargne_mensuelle!C30:AB30))</f>
        <v>2025156.5194317778</v>
      </c>
    </row>
    <row r="31" spans="1:3" ht="24" thickBot="1" x14ac:dyDescent="0.6">
      <c r="A31" s="219">
        <f>IF(epargne_mensuelle!A31="","",epargne_mensuelle!A31)</f>
        <v>30</v>
      </c>
      <c r="B31" s="220" t="str">
        <f>IF(epargne_mensuelle!B31="","",epargne_mensuelle!B31)</f>
        <v>ACTIONNIRE30</v>
      </c>
      <c r="C31" s="221">
        <f>IF(A31="","",SUM(epargne_mensuelle!C31:AB31))</f>
        <v>1028984.0862869273</v>
      </c>
    </row>
    <row r="32" spans="1:3" ht="24" thickBot="1" x14ac:dyDescent="0.6">
      <c r="A32" s="219">
        <f>IF(epargne_mensuelle!A32="","",epargne_mensuelle!A32)</f>
        <v>31</v>
      </c>
      <c r="B32" s="220" t="str">
        <f>IF(epargne_mensuelle!B32="","",epargne_mensuelle!B32)</f>
        <v>ACTIONNIRE31</v>
      </c>
      <c r="C32" s="221">
        <f>IF(A32="","",SUM(epargne_mensuelle!C32:AB32))</f>
        <v>1236027.4094442949</v>
      </c>
    </row>
    <row r="33" spans="1:5" ht="24" thickBot="1" x14ac:dyDescent="0.6">
      <c r="A33" s="219">
        <f>IF(epargne_mensuelle!A33="","",epargne_mensuelle!A33)</f>
        <v>32</v>
      </c>
      <c r="B33" s="220" t="str">
        <f>IF(epargne_mensuelle!B33="","",epargne_mensuelle!B33)</f>
        <v>ACTIONNIRE32</v>
      </c>
      <c r="C33" s="221">
        <f>IF(A33="","",SUM(epargne_mensuelle!C33:AB33))</f>
        <v>260099.70422273286</v>
      </c>
    </row>
    <row r="34" spans="1:5" ht="24" thickBot="1" x14ac:dyDescent="0.6">
      <c r="A34" s="219">
        <f>IF(epargne_mensuelle!A34="","",epargne_mensuelle!A34)</f>
        <v>33</v>
      </c>
      <c r="B34" s="220" t="str">
        <f>IF(epargne_mensuelle!B34="","",epargne_mensuelle!B34)</f>
        <v>ACTIONNIRE33</v>
      </c>
      <c r="C34" s="221">
        <f>IF(A34="","",SUM(epargne_mensuelle!C34:AB34))</f>
        <v>87809.359816982498</v>
      </c>
    </row>
    <row r="35" spans="1:5" ht="24" thickBot="1" x14ac:dyDescent="0.6">
      <c r="A35" s="219">
        <f>IF(epargne_mensuelle!A35="","",epargne_mensuelle!A35)</f>
        <v>34</v>
      </c>
      <c r="B35" s="220" t="str">
        <f>IF(epargne_mensuelle!B35="","",epargne_mensuelle!B35)</f>
        <v>ACTIONNIRE34</v>
      </c>
      <c r="C35" s="221">
        <f>IF(A35="","",SUM(epargne_mensuelle!C35:AB35))</f>
        <v>4014536.0314793047</v>
      </c>
    </row>
    <row r="36" spans="1:5" ht="24" thickBot="1" x14ac:dyDescent="0.6">
      <c r="A36" s="219">
        <f>IF(epargne_mensuelle!A36="","",epargne_mensuelle!A36)</f>
        <v>35</v>
      </c>
      <c r="B36" s="220" t="str">
        <f>IF(epargne_mensuelle!B36="","",epargne_mensuelle!B36)</f>
        <v>ACTIONNIRE35</v>
      </c>
      <c r="C36" s="221">
        <f>IF(A36="","",SUM(epargne_mensuelle!C36:AB36))</f>
        <v>501360.80944379146</v>
      </c>
    </row>
    <row r="37" spans="1:5" ht="24" thickBot="1" x14ac:dyDescent="0.6">
      <c r="A37" s="219">
        <f>IF(epargne_mensuelle!A37="","",epargne_mensuelle!A37)</f>
        <v>36</v>
      </c>
      <c r="B37" s="220" t="str">
        <f>IF(epargne_mensuelle!B37="","",epargne_mensuelle!B37)</f>
        <v>ACTIONNIRE36</v>
      </c>
      <c r="C37" s="221">
        <f>IF(A37="","",SUM(epargne_mensuelle!C37:AB37))</f>
        <v>2040000</v>
      </c>
    </row>
    <row r="38" spans="1:5" ht="24" thickBot="1" x14ac:dyDescent="0.6">
      <c r="A38" s="219">
        <f>IF(epargne_mensuelle!A38="","",epargne_mensuelle!A38)</f>
        <v>37</v>
      </c>
      <c r="B38" s="220" t="str">
        <f>IF(epargne_mensuelle!B38="","",epargne_mensuelle!B38)</f>
        <v>ACTIONNIRE37</v>
      </c>
      <c r="C38" s="221">
        <f>IF(A38="","",SUM(epargne_mensuelle!C38:AB38))</f>
        <v>135000</v>
      </c>
    </row>
    <row r="39" spans="1:5" ht="24" thickBot="1" x14ac:dyDescent="0.6">
      <c r="A39" s="219">
        <f>IF(epargne_mensuelle!A39="","",epargne_mensuelle!A39)</f>
        <v>38</v>
      </c>
      <c r="B39" s="220" t="str">
        <f>IF(epargne_mensuelle!B39="","",epargne_mensuelle!B39)</f>
        <v>ACTIONNIRE38</v>
      </c>
      <c r="C39" s="221">
        <f>IF(A39="","",SUM(epargne_mensuelle!C39:AB39))</f>
        <v>5000</v>
      </c>
    </row>
    <row r="40" spans="1:5" ht="24" thickBot="1" x14ac:dyDescent="0.6">
      <c r="A40" s="219">
        <f>IF(epargne_mensuelle!A40="","",epargne_mensuelle!A40)</f>
        <v>39</v>
      </c>
      <c r="B40" s="220" t="str">
        <f>IF(epargne_mensuelle!B40="","",epargne_mensuelle!B40)</f>
        <v>ACTIONNIRE39</v>
      </c>
      <c r="C40" s="221">
        <f>IF(A40="","",SUM(epargne_mensuelle!C40:AB40))</f>
        <v>360000</v>
      </c>
    </row>
    <row r="41" spans="1:5" ht="24" thickBot="1" x14ac:dyDescent="0.6">
      <c r="A41" s="219">
        <f>IF(epargne_mensuelle!A41="","",epargne_mensuelle!A41)</f>
        <v>40</v>
      </c>
      <c r="B41" s="220" t="str">
        <f>IF(epargne_mensuelle!B41="","",epargne_mensuelle!B41)</f>
        <v>ACTIONNIRE40</v>
      </c>
      <c r="C41" s="221">
        <f>IF(A41="","",SUM(epargne_mensuelle!C41:AB41))</f>
        <v>120000</v>
      </c>
    </row>
    <row r="42" spans="1:5" ht="24" thickBot="1" x14ac:dyDescent="0.6">
      <c r="A42" s="219">
        <f>IF(epargne_mensuelle!A42="","",epargne_mensuelle!A42)</f>
        <v>41</v>
      </c>
      <c r="B42" s="220" t="str">
        <f>IF(epargne_mensuelle!B42="","",epargne_mensuelle!B42)</f>
        <v>ACTIONNIRE41</v>
      </c>
      <c r="C42" s="221">
        <f>IF(A42="","",SUM(epargne_mensuelle!C42:AB42))</f>
        <v>120000</v>
      </c>
    </row>
    <row r="43" spans="1:5" ht="24" thickBot="1" x14ac:dyDescent="0.6">
      <c r="A43" s="219" t="str">
        <f>IF(epargne_mensuelle!A43="","",epargne_mensuelle!A43)</f>
        <v/>
      </c>
      <c r="B43" s="220" t="str">
        <f>IF(epargne_mensuelle!B43="","",epargne_mensuelle!B43)</f>
        <v/>
      </c>
      <c r="C43" s="221" t="str">
        <f>IF(A43="","",SUM(epargne_mensuelle!C43:AB43))</f>
        <v/>
      </c>
    </row>
    <row r="44" spans="1:5" ht="24" thickBot="1" x14ac:dyDescent="0.6">
      <c r="A44" s="219" t="str">
        <f>IF(epargne_mensuelle!A44="","",epargne_mensuelle!A44)</f>
        <v/>
      </c>
      <c r="B44" s="220" t="str">
        <f>IF(epargne_mensuelle!B44="","",epargne_mensuelle!B44)</f>
        <v/>
      </c>
      <c r="C44" s="221" t="str">
        <f>IF(A44="","",SUM(epargne_mensuelle!C44:AB44))</f>
        <v/>
      </c>
    </row>
    <row r="45" spans="1:5" ht="24" thickBot="1" x14ac:dyDescent="0.6">
      <c r="A45" s="219" t="str">
        <f>IF(epargne_mensuelle!A45="","",epargne_mensuelle!A45)</f>
        <v/>
      </c>
      <c r="B45" s="220" t="str">
        <f>IF(epargne_mensuelle!B45="","",epargne_mensuelle!B45)</f>
        <v/>
      </c>
      <c r="C45" s="221" t="str">
        <f>IF(A45="","",SUM(epargne_mensuelle!C45:AB45))</f>
        <v/>
      </c>
    </row>
    <row r="46" spans="1:5" ht="24" thickBot="1" x14ac:dyDescent="0.6">
      <c r="A46" s="219" t="str">
        <f>IF(epargne_mensuelle!A46="","",epargne_mensuelle!A46)</f>
        <v/>
      </c>
      <c r="B46" s="220" t="str">
        <f>IF(epargne_mensuelle!B46="","",epargne_mensuelle!B46)</f>
        <v/>
      </c>
      <c r="C46" s="221" t="str">
        <f>IF(A46="","",SUM(epargne_mensuelle!C46:AB46))</f>
        <v/>
      </c>
    </row>
    <row r="47" spans="1:5" ht="24" thickBot="1" x14ac:dyDescent="0.6">
      <c r="A47" s="219" t="str">
        <f>IF(epargne_mensuelle!A47="","",epargne_mensuelle!A47)</f>
        <v/>
      </c>
      <c r="B47" s="220" t="str">
        <f>IF(epargne_mensuelle!B47="","",epargne_mensuelle!B47)</f>
        <v/>
      </c>
      <c r="C47" s="221" t="str">
        <f>IF(A47="","",SUM(epargne_mensuelle!C47:AB47))</f>
        <v/>
      </c>
    </row>
    <row r="48" spans="1:5" s="2" customFormat="1" ht="24" thickBot="1" x14ac:dyDescent="0.6">
      <c r="A48" s="241" t="s">
        <v>24</v>
      </c>
      <c r="B48" s="242"/>
      <c r="C48" s="222">
        <f>SUM(C2:C47)</f>
        <v>39105402.980000004</v>
      </c>
      <c r="D48" s="5"/>
      <c r="E48" s="13"/>
    </row>
  </sheetData>
  <mergeCells count="1">
    <mergeCell ref="A48:B48"/>
  </mergeCells>
  <conditionalFormatting sqref="C2:C47">
    <cfRule type="cellIs" dxfId="1" priority="1" operator="greaterThanOrEqual">
      <formula>120000</formula>
    </cfRule>
  </conditionalFormatting>
  <pageMargins left="0.7" right="0.7" top="0.75" bottom="0.75" header="0.3" footer="0.3"/>
  <pageSetup paperSize="9" scale="60" orientation="portrait" r:id="rId1"/>
  <headerFooter>
    <oddHeader>&amp;C&amp;"Cambria,Gras"&amp;18CUMUL DES EPARGNES DANS LA MICROFINANCE CAMDVI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8C4D-D934-494A-B20D-2BE2D13F6CEA}">
  <sheetPr codeName="Feuil7">
    <tabColor rgb="FF00B0F0"/>
  </sheetPr>
  <dimension ref="A1:AG43"/>
  <sheetViews>
    <sheetView zoomScale="60" zoomScaleNormal="60" workbookViewId="0">
      <pane ySplit="1" topLeftCell="A2" activePane="bottomLeft" state="frozen"/>
      <selection activeCell="K45" sqref="K45"/>
      <selection pane="bottomLeft" activeCell="D11" sqref="D11"/>
    </sheetView>
  </sheetViews>
  <sheetFormatPr baseColWidth="10" defaultColWidth="11.453125" defaultRowHeight="17.5" x14ac:dyDescent="0.35"/>
  <cols>
    <col min="1" max="1" width="4.1796875" style="8" customWidth="1"/>
    <col min="2" max="2" width="34.81640625" style="8" customWidth="1"/>
    <col min="3" max="3" width="16.90625" style="58" customWidth="1"/>
    <col min="4" max="4" width="19.54296875" style="58" customWidth="1"/>
    <col min="5" max="9" width="13.7265625" style="8" customWidth="1"/>
    <col min="10" max="10" width="12.7265625" style="8" customWidth="1"/>
    <col min="11" max="11" width="12.6328125" style="8" customWidth="1"/>
    <col min="12" max="12" width="11.54296875" style="8" bestFit="1" customWidth="1"/>
    <col min="13" max="13" width="12.6328125" style="8" customWidth="1"/>
    <col min="14" max="14" width="14" style="8" customWidth="1"/>
    <col min="15" max="15" width="12.54296875" style="8" customWidth="1"/>
    <col min="16" max="18" width="12.6328125" style="8" bestFit="1" customWidth="1"/>
    <col min="19" max="19" width="14.453125" style="8" customWidth="1"/>
    <col min="20" max="20" width="13.54296875" style="8" customWidth="1"/>
    <col min="21" max="21" width="12.90625" style="8" customWidth="1"/>
    <col min="22" max="22" width="12.6328125" style="8" bestFit="1" customWidth="1"/>
    <col min="23" max="23" width="13.26953125" style="8" customWidth="1"/>
    <col min="24" max="24" width="12.6328125" style="8" bestFit="1" customWidth="1"/>
    <col min="25" max="25" width="12.54296875" style="8" customWidth="1"/>
    <col min="26" max="26" width="12.7265625" style="8" customWidth="1"/>
    <col min="27" max="27" width="12.26953125" style="8" customWidth="1"/>
    <col min="28" max="28" width="14.08984375" style="80" customWidth="1"/>
    <col min="29" max="30" width="14.26953125" style="80" bestFit="1" customWidth="1"/>
    <col min="31" max="31" width="14.08984375" style="80" customWidth="1"/>
    <col min="32" max="32" width="16.7265625" style="80" customWidth="1"/>
    <col min="33" max="33" width="17.1796875" style="80" customWidth="1"/>
    <col min="34" max="16384" width="11.453125" style="8"/>
  </cols>
  <sheetData>
    <row r="1" spans="1:33" s="7" customFormat="1" ht="54" x14ac:dyDescent="0.4">
      <c r="A1" s="19" t="s">
        <v>20</v>
      </c>
      <c r="B1" s="20" t="s">
        <v>21</v>
      </c>
      <c r="C1" s="56" t="s">
        <v>79</v>
      </c>
      <c r="D1" s="56" t="s">
        <v>78</v>
      </c>
      <c r="E1" s="53" t="s">
        <v>75</v>
      </c>
      <c r="F1" s="53" t="s">
        <v>188</v>
      </c>
      <c r="G1" s="53" t="s">
        <v>89</v>
      </c>
      <c r="H1" s="53" t="s">
        <v>90</v>
      </c>
      <c r="I1" s="21">
        <v>45839</v>
      </c>
      <c r="J1" s="21">
        <v>45870</v>
      </c>
      <c r="K1" s="21">
        <v>45901</v>
      </c>
      <c r="L1" s="21">
        <v>45931</v>
      </c>
      <c r="M1" s="21">
        <v>45962</v>
      </c>
      <c r="N1" s="21">
        <v>45992</v>
      </c>
      <c r="O1" s="21">
        <v>46023</v>
      </c>
      <c r="P1" s="21">
        <v>46054</v>
      </c>
      <c r="Q1" s="21">
        <v>46082</v>
      </c>
      <c r="R1" s="21">
        <v>46113</v>
      </c>
      <c r="S1" s="21">
        <v>46143</v>
      </c>
      <c r="T1" s="21">
        <v>46174</v>
      </c>
      <c r="U1" s="21">
        <v>46204</v>
      </c>
      <c r="V1" s="21">
        <v>46235</v>
      </c>
      <c r="W1" s="21">
        <v>46266</v>
      </c>
      <c r="X1" s="21">
        <v>46296</v>
      </c>
      <c r="Y1" s="21">
        <v>46327</v>
      </c>
      <c r="Z1" s="21">
        <v>46357</v>
      </c>
      <c r="AA1" s="21">
        <v>46388</v>
      </c>
      <c r="AB1" s="21">
        <v>46419</v>
      </c>
      <c r="AC1" s="21">
        <v>46447</v>
      </c>
      <c r="AD1" s="21">
        <v>46478</v>
      </c>
      <c r="AE1" s="21">
        <v>46508</v>
      </c>
      <c r="AF1" s="21">
        <v>46539</v>
      </c>
      <c r="AG1" s="21">
        <v>46569</v>
      </c>
    </row>
    <row r="2" spans="1:33" x14ac:dyDescent="0.35">
      <c r="A2" s="9">
        <v>1</v>
      </c>
      <c r="B2" s="10" t="s">
        <v>264</v>
      </c>
      <c r="C2" s="57"/>
      <c r="D2" s="57"/>
      <c r="E2" s="11">
        <v>75000</v>
      </c>
      <c r="F2" s="11"/>
      <c r="G2" s="67"/>
      <c r="H2" s="11"/>
      <c r="I2" s="11"/>
      <c r="J2" s="11">
        <v>25000</v>
      </c>
      <c r="K2" s="11"/>
      <c r="L2" s="11"/>
      <c r="M2" s="54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208"/>
      <c r="AC2" s="208"/>
      <c r="AD2" s="208"/>
      <c r="AE2" s="208"/>
      <c r="AF2" s="208"/>
      <c r="AG2" s="209"/>
    </row>
    <row r="3" spans="1:33" x14ac:dyDescent="0.35">
      <c r="A3" s="9">
        <v>2</v>
      </c>
      <c r="B3" s="10" t="s">
        <v>267</v>
      </c>
      <c r="C3" s="57" t="s">
        <v>206</v>
      </c>
      <c r="D3" s="57" t="s">
        <v>210</v>
      </c>
      <c r="E3" s="11">
        <v>2400000</v>
      </c>
      <c r="F3" s="11">
        <v>20</v>
      </c>
      <c r="G3" s="68">
        <f t="shared" ref="G3" si="0">IF(E3&lt;1000000,F3*1.5%,F3*1%)</f>
        <v>0.2</v>
      </c>
      <c r="H3" s="11">
        <f t="shared" ref="H3" si="1">G3*E3</f>
        <v>480000</v>
      </c>
      <c r="I3" s="11"/>
      <c r="J3" s="11">
        <v>840000</v>
      </c>
      <c r="K3" s="11">
        <v>150000</v>
      </c>
      <c r="L3" s="11">
        <v>130000</v>
      </c>
      <c r="M3" s="54">
        <v>140000</v>
      </c>
      <c r="N3" s="11">
        <v>140000</v>
      </c>
      <c r="O3" s="11">
        <v>140000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208"/>
      <c r="AC3" s="208"/>
      <c r="AD3" s="208"/>
      <c r="AE3" s="208"/>
      <c r="AF3" s="208"/>
      <c r="AG3" s="209"/>
    </row>
    <row r="4" spans="1:33" x14ac:dyDescent="0.35">
      <c r="A4" s="9">
        <v>3</v>
      </c>
      <c r="B4" s="10" t="s">
        <v>268</v>
      </c>
      <c r="C4" s="57" t="s">
        <v>211</v>
      </c>
      <c r="D4" s="57" t="s">
        <v>212</v>
      </c>
      <c r="E4" s="11">
        <v>5500000</v>
      </c>
      <c r="F4" s="11">
        <v>10</v>
      </c>
      <c r="G4" s="68">
        <f t="shared" ref="G4:G9" si="2">IF(E4&lt;1000000,F4*1.5%,F4*1%)</f>
        <v>0.1</v>
      </c>
      <c r="H4" s="11">
        <f t="shared" ref="H4" si="3">G4*E4</f>
        <v>550000</v>
      </c>
      <c r="I4" s="11"/>
      <c r="J4" s="11"/>
      <c r="K4" s="11">
        <v>580000</v>
      </c>
      <c r="L4" s="11">
        <v>830000</v>
      </c>
      <c r="M4" s="54">
        <v>380000</v>
      </c>
      <c r="N4" s="11">
        <v>480000</v>
      </c>
      <c r="O4" s="11">
        <v>400000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208"/>
      <c r="AC4" s="208"/>
      <c r="AD4" s="208"/>
      <c r="AE4" s="208"/>
      <c r="AF4" s="208"/>
      <c r="AG4" s="209"/>
    </row>
    <row r="5" spans="1:33" x14ac:dyDescent="0.35">
      <c r="A5" s="9">
        <v>4</v>
      </c>
      <c r="B5" s="10" t="s">
        <v>269</v>
      </c>
      <c r="C5" s="57" t="s">
        <v>211</v>
      </c>
      <c r="D5" s="57" t="s">
        <v>237</v>
      </c>
      <c r="E5" s="11">
        <v>300000</v>
      </c>
      <c r="F5" s="11">
        <v>12</v>
      </c>
      <c r="G5" s="68">
        <f t="shared" si="2"/>
        <v>0.18</v>
      </c>
      <c r="H5" s="11">
        <f t="shared" ref="H5" si="4">G5*E5</f>
        <v>54000</v>
      </c>
      <c r="I5" s="11"/>
      <c r="J5" s="11"/>
      <c r="K5" s="11"/>
      <c r="L5" s="11">
        <v>29500</v>
      </c>
      <c r="M5" s="54">
        <v>29500</v>
      </c>
      <c r="N5" s="11">
        <v>29500</v>
      </c>
      <c r="O5" s="11">
        <v>29500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208"/>
      <c r="AC5" s="208"/>
      <c r="AD5" s="208"/>
      <c r="AE5" s="208"/>
      <c r="AF5" s="208"/>
      <c r="AG5" s="209"/>
    </row>
    <row r="6" spans="1:33" x14ac:dyDescent="0.35">
      <c r="A6" s="9">
        <v>5</v>
      </c>
      <c r="B6" s="10" t="s">
        <v>270</v>
      </c>
      <c r="C6" s="57" t="s">
        <v>211</v>
      </c>
      <c r="D6" s="57" t="s">
        <v>238</v>
      </c>
      <c r="E6" s="11">
        <v>1850000</v>
      </c>
      <c r="F6" s="11">
        <v>24</v>
      </c>
      <c r="G6" s="68">
        <f t="shared" si="2"/>
        <v>0.24</v>
      </c>
      <c r="H6" s="11">
        <f t="shared" ref="H6:H7" si="5">G6*E6</f>
        <v>444000</v>
      </c>
      <c r="I6" s="11"/>
      <c r="J6" s="11"/>
      <c r="K6" s="11"/>
      <c r="L6" s="11">
        <v>100000</v>
      </c>
      <c r="M6" s="54">
        <v>100000</v>
      </c>
      <c r="N6" s="11">
        <v>100000</v>
      </c>
      <c r="O6" s="11">
        <v>100000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208"/>
      <c r="AC6" s="208"/>
      <c r="AD6" s="208"/>
      <c r="AE6" s="208"/>
      <c r="AF6" s="208"/>
      <c r="AG6" s="209"/>
    </row>
    <row r="7" spans="1:33" x14ac:dyDescent="0.35">
      <c r="A7" s="9">
        <v>6</v>
      </c>
      <c r="B7" s="10" t="s">
        <v>271</v>
      </c>
      <c r="C7" s="57" t="s">
        <v>211</v>
      </c>
      <c r="D7" s="57" t="s">
        <v>237</v>
      </c>
      <c r="E7" s="11">
        <v>3700000</v>
      </c>
      <c r="F7" s="11">
        <v>12</v>
      </c>
      <c r="G7" s="68">
        <f t="shared" si="2"/>
        <v>0.12</v>
      </c>
      <c r="H7" s="11">
        <f t="shared" si="5"/>
        <v>444000</v>
      </c>
      <c r="I7" s="11"/>
      <c r="J7" s="11"/>
      <c r="K7" s="11"/>
      <c r="L7" s="11">
        <v>345334</v>
      </c>
      <c r="M7" s="54">
        <v>345334</v>
      </c>
      <c r="N7" s="11">
        <v>328333</v>
      </c>
      <c r="O7" s="11">
        <v>345333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208"/>
      <c r="AC7" s="208"/>
      <c r="AD7" s="208"/>
      <c r="AE7" s="208"/>
      <c r="AF7" s="208"/>
      <c r="AG7" s="209"/>
    </row>
    <row r="8" spans="1:33" x14ac:dyDescent="0.35">
      <c r="A8" s="9">
        <v>7</v>
      </c>
      <c r="B8" s="10" t="s">
        <v>272</v>
      </c>
      <c r="C8" s="57" t="s">
        <v>211</v>
      </c>
      <c r="D8" s="57" t="s">
        <v>237</v>
      </c>
      <c r="E8" s="11">
        <v>4000000</v>
      </c>
      <c r="F8" s="11">
        <v>12</v>
      </c>
      <c r="G8" s="68">
        <f t="shared" si="2"/>
        <v>0.12</v>
      </c>
      <c r="H8" s="11">
        <f t="shared" ref="H8" si="6">G8*E8</f>
        <v>480000</v>
      </c>
      <c r="I8" s="11"/>
      <c r="J8" s="11"/>
      <c r="K8" s="11"/>
      <c r="L8" s="11">
        <v>373333</v>
      </c>
      <c r="M8" s="54">
        <v>373333</v>
      </c>
      <c r="N8" s="54">
        <v>373334</v>
      </c>
      <c r="O8" s="11">
        <v>373333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208"/>
      <c r="AC8" s="208"/>
      <c r="AD8" s="208"/>
      <c r="AE8" s="208"/>
      <c r="AF8" s="208"/>
      <c r="AG8" s="209"/>
    </row>
    <row r="9" spans="1:33" x14ac:dyDescent="0.35">
      <c r="A9" s="9">
        <v>8</v>
      </c>
      <c r="B9" s="10" t="s">
        <v>273</v>
      </c>
      <c r="C9" s="57" t="s">
        <v>211</v>
      </c>
      <c r="D9" s="57" t="s">
        <v>212</v>
      </c>
      <c r="E9" s="11">
        <v>4000000</v>
      </c>
      <c r="F9" s="11">
        <v>10</v>
      </c>
      <c r="G9" s="68">
        <f t="shared" si="2"/>
        <v>0.1</v>
      </c>
      <c r="H9" s="11">
        <f t="shared" ref="H9:H10" si="7">G9*E9</f>
        <v>400000</v>
      </c>
      <c r="I9" s="11"/>
      <c r="J9" s="11">
        <v>1000000</v>
      </c>
      <c r="K9" s="11"/>
      <c r="L9" s="11"/>
      <c r="M9" s="54"/>
      <c r="N9" s="11">
        <v>300000</v>
      </c>
      <c r="O9" s="11">
        <v>300000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208"/>
      <c r="AC9" s="208"/>
      <c r="AD9" s="208"/>
      <c r="AE9" s="208"/>
      <c r="AF9" s="208"/>
      <c r="AG9" s="209"/>
    </row>
    <row r="10" spans="1:33" x14ac:dyDescent="0.35">
      <c r="A10" s="9">
        <v>9</v>
      </c>
      <c r="B10" s="10" t="s">
        <v>274</v>
      </c>
      <c r="C10" s="57" t="s">
        <v>211</v>
      </c>
      <c r="D10" s="57" t="s">
        <v>237</v>
      </c>
      <c r="E10" s="11">
        <v>1150000</v>
      </c>
      <c r="F10" s="11">
        <v>12</v>
      </c>
      <c r="G10" s="68">
        <f t="shared" ref="G10" si="8">IF(E10&lt;1000000,F10*1.5%,F10*1%)</f>
        <v>0.12</v>
      </c>
      <c r="H10" s="11">
        <f t="shared" si="7"/>
        <v>138000</v>
      </c>
      <c r="I10" s="11"/>
      <c r="J10" s="11"/>
      <c r="K10" s="11"/>
      <c r="L10" s="11">
        <v>110000</v>
      </c>
      <c r="M10" s="54">
        <v>100000</v>
      </c>
      <c r="N10" s="11">
        <v>100000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208"/>
      <c r="AC10" s="208"/>
      <c r="AD10" s="208"/>
      <c r="AE10" s="208"/>
      <c r="AF10" s="208"/>
      <c r="AG10" s="209"/>
    </row>
    <row r="11" spans="1:33" x14ac:dyDescent="0.35">
      <c r="A11" s="9">
        <v>10</v>
      </c>
      <c r="B11" s="10" t="s">
        <v>275</v>
      </c>
      <c r="C11" s="57" t="s">
        <v>211</v>
      </c>
      <c r="D11" s="57" t="s">
        <v>242</v>
      </c>
      <c r="E11" s="11">
        <v>4000000</v>
      </c>
      <c r="F11" s="11">
        <v>9</v>
      </c>
      <c r="G11" s="68">
        <f t="shared" ref="G11" si="9">IF(E11&lt;1000000,F11*1.5%,F11*1%)</f>
        <v>0.09</v>
      </c>
      <c r="H11" s="11">
        <f t="shared" ref="H11" si="10">G11*E11</f>
        <v>360000</v>
      </c>
      <c r="I11" s="11"/>
      <c r="J11" s="11"/>
      <c r="K11" s="11"/>
      <c r="L11" s="11">
        <v>485000</v>
      </c>
      <c r="M11" s="54">
        <v>485000</v>
      </c>
      <c r="N11" s="11">
        <v>485000</v>
      </c>
      <c r="O11" s="11">
        <v>485000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208"/>
      <c r="AC11" s="208"/>
      <c r="AD11" s="208"/>
      <c r="AE11" s="208"/>
      <c r="AF11" s="208"/>
      <c r="AG11" s="209"/>
    </row>
    <row r="12" spans="1:33" x14ac:dyDescent="0.35">
      <c r="A12" s="9">
        <v>11</v>
      </c>
      <c r="B12" s="10" t="s">
        <v>276</v>
      </c>
      <c r="C12" s="57" t="s">
        <v>211</v>
      </c>
      <c r="D12" s="57" t="s">
        <v>237</v>
      </c>
      <c r="E12" s="11">
        <v>4000000</v>
      </c>
      <c r="F12" s="11">
        <v>12</v>
      </c>
      <c r="G12" s="68">
        <f t="shared" ref="G12" si="11">IF(E12&lt;1000000,F12*1.5%,F12*1%)</f>
        <v>0.12</v>
      </c>
      <c r="H12" s="11">
        <f t="shared" ref="H12" si="12">G12*E12</f>
        <v>480000</v>
      </c>
      <c r="I12" s="11"/>
      <c r="J12" s="11"/>
      <c r="K12" s="11"/>
      <c r="L12" s="11">
        <v>373333</v>
      </c>
      <c r="M12" s="54">
        <v>373333</v>
      </c>
      <c r="N12" s="54">
        <v>373333</v>
      </c>
      <c r="O12" s="11">
        <v>373334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08"/>
      <c r="AC12" s="208"/>
      <c r="AD12" s="208"/>
      <c r="AE12" s="208"/>
      <c r="AF12" s="208"/>
      <c r="AG12" s="209"/>
    </row>
    <row r="13" spans="1:33" x14ac:dyDescent="0.35">
      <c r="A13" s="9">
        <v>12</v>
      </c>
      <c r="B13" s="10" t="s">
        <v>277</v>
      </c>
      <c r="C13" s="57" t="s">
        <v>211</v>
      </c>
      <c r="D13" s="57" t="s">
        <v>212</v>
      </c>
      <c r="E13" s="11">
        <v>1500000</v>
      </c>
      <c r="F13" s="11">
        <v>10</v>
      </c>
      <c r="G13" s="68">
        <f t="shared" ref="G13:G14" si="13">IF(E13&lt;1000000,F13*1.5%,F13*1%)</f>
        <v>0.1</v>
      </c>
      <c r="H13" s="11">
        <f t="shared" ref="H13:H14" si="14">G13*E13</f>
        <v>150000</v>
      </c>
      <c r="I13" s="11"/>
      <c r="J13" s="11"/>
      <c r="K13" s="11"/>
      <c r="L13" s="11">
        <v>165000</v>
      </c>
      <c r="M13" s="11"/>
      <c r="N13" s="11">
        <v>330000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208"/>
      <c r="AC13" s="208"/>
      <c r="AD13" s="208"/>
      <c r="AE13" s="208"/>
      <c r="AF13" s="208"/>
      <c r="AG13" s="209"/>
    </row>
    <row r="14" spans="1:33" x14ac:dyDescent="0.35">
      <c r="A14" s="9">
        <v>13</v>
      </c>
      <c r="B14" s="10" t="s">
        <v>278</v>
      </c>
      <c r="C14" s="57" t="s">
        <v>211</v>
      </c>
      <c r="D14" s="57" t="s">
        <v>237</v>
      </c>
      <c r="E14" s="11">
        <v>3000000</v>
      </c>
      <c r="F14" s="11">
        <v>12</v>
      </c>
      <c r="G14" s="68">
        <f t="shared" si="13"/>
        <v>0.12</v>
      </c>
      <c r="H14" s="11">
        <f t="shared" si="14"/>
        <v>360000</v>
      </c>
      <c r="I14" s="11"/>
      <c r="J14" s="11"/>
      <c r="K14" s="11"/>
      <c r="L14" s="11">
        <v>280000</v>
      </c>
      <c r="M14" s="54">
        <v>280000</v>
      </c>
      <c r="N14" s="11">
        <v>280000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208"/>
      <c r="AC14" s="208"/>
      <c r="AD14" s="208"/>
      <c r="AE14" s="208"/>
      <c r="AF14" s="208"/>
      <c r="AG14" s="209"/>
    </row>
    <row r="15" spans="1:33" x14ac:dyDescent="0.35">
      <c r="A15" s="9">
        <v>14</v>
      </c>
      <c r="B15" s="10" t="s">
        <v>265</v>
      </c>
      <c r="C15" s="57" t="s">
        <v>244</v>
      </c>
      <c r="D15" s="57" t="s">
        <v>246</v>
      </c>
      <c r="E15" s="11">
        <v>3000000</v>
      </c>
      <c r="F15" s="11">
        <v>18</v>
      </c>
      <c r="G15" s="68">
        <f t="shared" ref="G15:G20" si="15">IF(E15&lt;1000000,F15*1.5%,F15*1%)</f>
        <v>0.18</v>
      </c>
      <c r="H15" s="11">
        <f t="shared" ref="H15:H20" si="16">G15*E15</f>
        <v>540000</v>
      </c>
      <c r="I15" s="11"/>
      <c r="J15" s="11"/>
      <c r="K15" s="11"/>
      <c r="L15" s="11"/>
      <c r="M15" s="54"/>
      <c r="N15" s="11"/>
      <c r="O15" s="11">
        <v>425000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208"/>
      <c r="AC15" s="208"/>
      <c r="AD15" s="208"/>
      <c r="AE15" s="208"/>
      <c r="AF15" s="208"/>
      <c r="AG15" s="209"/>
    </row>
    <row r="16" spans="1:33" x14ac:dyDescent="0.35">
      <c r="A16" s="9">
        <v>14</v>
      </c>
      <c r="B16" s="10" t="s">
        <v>266</v>
      </c>
      <c r="C16" s="57" t="s">
        <v>244</v>
      </c>
      <c r="D16" s="57" t="s">
        <v>237</v>
      </c>
      <c r="E16" s="11">
        <v>2500000</v>
      </c>
      <c r="F16" s="11">
        <v>10</v>
      </c>
      <c r="G16" s="68">
        <f t="shared" si="15"/>
        <v>0.1</v>
      </c>
      <c r="H16" s="11">
        <f t="shared" si="16"/>
        <v>250000</v>
      </c>
      <c r="I16" s="11"/>
      <c r="J16" s="11"/>
      <c r="K16" s="11"/>
      <c r="L16" s="11"/>
      <c r="M16" s="54"/>
      <c r="N16" s="11">
        <v>275000</v>
      </c>
      <c r="O16" s="11">
        <v>275000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208"/>
      <c r="AD16" s="208"/>
      <c r="AE16" s="208"/>
      <c r="AF16" s="208"/>
      <c r="AG16" s="209"/>
    </row>
    <row r="17" spans="1:33" x14ac:dyDescent="0.35">
      <c r="A17" s="9">
        <v>15</v>
      </c>
      <c r="B17" s="10" t="s">
        <v>279</v>
      </c>
      <c r="C17" s="57" t="s">
        <v>244</v>
      </c>
      <c r="D17" s="57" t="s">
        <v>247</v>
      </c>
      <c r="E17" s="11">
        <v>1000000</v>
      </c>
      <c r="F17" s="11">
        <v>3</v>
      </c>
      <c r="G17" s="68">
        <f t="shared" si="15"/>
        <v>0.03</v>
      </c>
      <c r="H17" s="11">
        <f t="shared" si="16"/>
        <v>30000</v>
      </c>
      <c r="I17" s="11"/>
      <c r="J17" s="11"/>
      <c r="K17" s="11"/>
      <c r="L17" s="11"/>
      <c r="M17" s="54"/>
      <c r="N17" s="11">
        <v>1000000</v>
      </c>
      <c r="O17" s="11">
        <v>30000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208"/>
      <c r="AC17" s="208"/>
      <c r="AD17" s="208"/>
      <c r="AE17" s="208"/>
      <c r="AF17" s="208"/>
      <c r="AG17" s="209"/>
    </row>
    <row r="18" spans="1:33" x14ac:dyDescent="0.35">
      <c r="A18" s="9">
        <v>15</v>
      </c>
      <c r="B18" s="10" t="s">
        <v>280</v>
      </c>
      <c r="C18" s="57" t="s">
        <v>249</v>
      </c>
      <c r="D18" s="57" t="s">
        <v>250</v>
      </c>
      <c r="E18" s="11">
        <v>1570000</v>
      </c>
      <c r="F18" s="11">
        <v>12</v>
      </c>
      <c r="G18" s="68">
        <f t="shared" si="15"/>
        <v>0.12</v>
      </c>
      <c r="H18" s="11">
        <f t="shared" si="16"/>
        <v>188400</v>
      </c>
      <c r="I18" s="11"/>
      <c r="J18" s="11"/>
      <c r="K18" s="11"/>
      <c r="L18" s="11"/>
      <c r="M18" s="54"/>
      <c r="N18" s="11"/>
      <c r="O18" s="11">
        <v>147000</v>
      </c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208"/>
      <c r="AC18" s="208"/>
      <c r="AD18" s="208"/>
      <c r="AE18" s="208"/>
      <c r="AF18" s="208"/>
      <c r="AG18" s="209"/>
    </row>
    <row r="19" spans="1:33" x14ac:dyDescent="0.35">
      <c r="A19" s="9">
        <v>15</v>
      </c>
      <c r="B19" s="10" t="s">
        <v>281</v>
      </c>
      <c r="C19" s="57" t="s">
        <v>249</v>
      </c>
      <c r="D19" s="57" t="s">
        <v>251</v>
      </c>
      <c r="E19" s="11">
        <v>3100000</v>
      </c>
      <c r="F19" s="11">
        <v>3</v>
      </c>
      <c r="G19" s="68">
        <f t="shared" si="15"/>
        <v>0.03</v>
      </c>
      <c r="H19" s="11">
        <f t="shared" si="16"/>
        <v>93000</v>
      </c>
      <c r="I19" s="11"/>
      <c r="J19" s="11"/>
      <c r="K19" s="11"/>
      <c r="L19" s="11"/>
      <c r="M19" s="54"/>
      <c r="N19" s="11"/>
      <c r="O19" s="11">
        <v>900000</v>
      </c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208"/>
      <c r="AE19" s="208"/>
      <c r="AF19" s="208"/>
      <c r="AG19" s="209"/>
    </row>
    <row r="20" spans="1:33" x14ac:dyDescent="0.35">
      <c r="A20" s="9">
        <v>15</v>
      </c>
      <c r="B20" s="10" t="s">
        <v>282</v>
      </c>
      <c r="C20" s="57" t="s">
        <v>253</v>
      </c>
      <c r="D20" s="57" t="s">
        <v>263</v>
      </c>
      <c r="E20" s="11">
        <v>2500000</v>
      </c>
      <c r="F20" s="11">
        <v>4</v>
      </c>
      <c r="G20" s="68">
        <f t="shared" si="15"/>
        <v>0.04</v>
      </c>
      <c r="H20" s="11">
        <f t="shared" si="16"/>
        <v>100000</v>
      </c>
      <c r="I20" s="11"/>
      <c r="J20" s="11"/>
      <c r="K20" s="11"/>
      <c r="L20" s="11"/>
      <c r="M20" s="54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208"/>
      <c r="AC20" s="208"/>
      <c r="AD20" s="208"/>
      <c r="AE20" s="208"/>
      <c r="AF20" s="208"/>
      <c r="AG20" s="209"/>
    </row>
    <row r="21" spans="1:33" x14ac:dyDescent="0.35">
      <c r="A21" s="9">
        <v>15</v>
      </c>
      <c r="B21" s="10" t="s">
        <v>283</v>
      </c>
      <c r="C21" s="57" t="s">
        <v>257</v>
      </c>
      <c r="D21" s="57" t="s">
        <v>262</v>
      </c>
      <c r="E21" s="11">
        <v>3000000</v>
      </c>
      <c r="F21" s="11">
        <v>24</v>
      </c>
      <c r="G21" s="68">
        <f t="shared" ref="G21" si="17">IF(E21&lt;1000000,F21*1.5%,F21*1%)</f>
        <v>0.24</v>
      </c>
      <c r="H21" s="11">
        <f t="shared" ref="H21" si="18">G21*E21</f>
        <v>720000</v>
      </c>
      <c r="I21" s="11"/>
      <c r="J21" s="11"/>
      <c r="K21" s="11"/>
      <c r="L21" s="11"/>
      <c r="M21" s="54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208"/>
      <c r="AC21" s="208"/>
      <c r="AD21" s="208"/>
      <c r="AE21" s="208"/>
      <c r="AF21" s="208"/>
      <c r="AG21" s="209"/>
    </row>
    <row r="22" spans="1:33" x14ac:dyDescent="0.35">
      <c r="A22" s="9">
        <v>14</v>
      </c>
      <c r="B22" s="10"/>
      <c r="C22" s="57"/>
      <c r="D22" s="57"/>
      <c r="E22" s="11"/>
      <c r="F22" s="11"/>
      <c r="G22" s="68"/>
      <c r="H22" s="11"/>
      <c r="I22" s="11"/>
      <c r="J22" s="11"/>
      <c r="K22" s="11"/>
      <c r="L22" s="11"/>
      <c r="M22" s="54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208"/>
      <c r="AC22" s="208"/>
      <c r="AD22" s="208"/>
      <c r="AE22" s="208"/>
      <c r="AF22" s="208"/>
      <c r="AG22" s="209"/>
    </row>
    <row r="23" spans="1:33" x14ac:dyDescent="0.35">
      <c r="A23" s="9">
        <v>14</v>
      </c>
      <c r="B23" s="10"/>
      <c r="C23" s="57"/>
      <c r="D23" s="57"/>
      <c r="E23" s="11"/>
      <c r="F23" s="11"/>
      <c r="G23" s="68"/>
      <c r="H23" s="11"/>
      <c r="I23" s="11"/>
      <c r="J23" s="11"/>
      <c r="K23" s="11"/>
      <c r="L23" s="11"/>
      <c r="M23" s="54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208"/>
      <c r="AC23" s="208"/>
      <c r="AD23" s="208"/>
      <c r="AE23" s="208"/>
      <c r="AF23" s="208"/>
      <c r="AG23" s="209"/>
    </row>
    <row r="24" spans="1:33" x14ac:dyDescent="0.35">
      <c r="A24" s="9">
        <v>14</v>
      </c>
      <c r="B24" s="10"/>
      <c r="C24" s="57"/>
      <c r="D24" s="57"/>
      <c r="E24" s="11"/>
      <c r="F24" s="11"/>
      <c r="G24" s="68"/>
      <c r="H24" s="11"/>
      <c r="I24" s="11"/>
      <c r="J24" s="11"/>
      <c r="K24" s="11"/>
      <c r="L24" s="11"/>
      <c r="M24" s="54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208"/>
      <c r="AD24" s="208"/>
      <c r="AE24" s="208"/>
      <c r="AF24" s="208"/>
      <c r="AG24" s="209"/>
    </row>
    <row r="25" spans="1:33" x14ac:dyDescent="0.35">
      <c r="A25" s="9">
        <v>15</v>
      </c>
      <c r="B25" s="10"/>
      <c r="C25" s="57"/>
      <c r="D25" s="57"/>
      <c r="E25" s="11"/>
      <c r="F25" s="11"/>
      <c r="G25" s="68"/>
      <c r="H25" s="11"/>
      <c r="I25" s="11"/>
      <c r="J25" s="11"/>
      <c r="K25" s="11"/>
      <c r="L25" s="11"/>
      <c r="M25" s="54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208"/>
      <c r="AC25" s="208"/>
      <c r="AD25" s="208"/>
      <c r="AE25" s="208"/>
      <c r="AF25" s="208"/>
      <c r="AG25" s="209"/>
    </row>
    <row r="26" spans="1:33" x14ac:dyDescent="0.35">
      <c r="A26" s="9">
        <v>15</v>
      </c>
      <c r="B26" s="10"/>
      <c r="C26" s="57"/>
      <c r="D26" s="57"/>
      <c r="E26" s="11"/>
      <c r="F26" s="11"/>
      <c r="G26" s="68"/>
      <c r="H26" s="11"/>
      <c r="I26" s="11"/>
      <c r="J26" s="11"/>
      <c r="K26" s="11"/>
      <c r="L26" s="11"/>
      <c r="M26" s="54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208"/>
      <c r="AC26" s="208"/>
      <c r="AD26" s="208"/>
      <c r="AE26" s="208"/>
      <c r="AF26" s="208"/>
      <c r="AG26" s="209"/>
    </row>
    <row r="27" spans="1:33" x14ac:dyDescent="0.35">
      <c r="A27" s="9">
        <v>15</v>
      </c>
      <c r="B27" s="10"/>
      <c r="C27" s="57"/>
      <c r="D27" s="57"/>
      <c r="E27" s="11"/>
      <c r="F27" s="11"/>
      <c r="G27" s="68"/>
      <c r="H27" s="11"/>
      <c r="I27" s="11"/>
      <c r="J27" s="11"/>
      <c r="K27" s="11"/>
      <c r="L27" s="11"/>
      <c r="M27" s="54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208"/>
      <c r="AD27" s="208"/>
      <c r="AE27" s="208"/>
      <c r="AF27" s="208"/>
      <c r="AG27" s="209"/>
    </row>
    <row r="28" spans="1:33" x14ac:dyDescent="0.35">
      <c r="A28" s="9">
        <v>7</v>
      </c>
      <c r="B28" s="10"/>
      <c r="C28" s="57"/>
      <c r="D28" s="57"/>
      <c r="E28" s="11"/>
      <c r="F28" s="11"/>
      <c r="G28" s="68"/>
      <c r="H28" s="11"/>
      <c r="I28" s="11"/>
      <c r="J28" s="11"/>
      <c r="K28" s="11"/>
      <c r="L28" s="11"/>
      <c r="M28" s="54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208"/>
      <c r="AC28" s="208"/>
      <c r="AD28" s="208"/>
      <c r="AE28" s="208"/>
      <c r="AF28" s="208"/>
      <c r="AG28" s="209"/>
    </row>
    <row r="29" spans="1:33" x14ac:dyDescent="0.35">
      <c r="A29" s="9">
        <v>10</v>
      </c>
      <c r="B29" s="10"/>
      <c r="C29" s="57"/>
      <c r="D29" s="57"/>
      <c r="E29" s="11"/>
      <c r="F29" s="11"/>
      <c r="G29" s="68"/>
      <c r="H29" s="11"/>
      <c r="I29" s="11"/>
      <c r="J29" s="11"/>
      <c r="K29" s="11"/>
      <c r="L29" s="11"/>
      <c r="M29" s="54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208"/>
      <c r="AC29" s="208"/>
      <c r="AD29" s="208"/>
      <c r="AE29" s="208"/>
      <c r="AF29" s="208"/>
      <c r="AG29" s="209"/>
    </row>
    <row r="30" spans="1:33" x14ac:dyDescent="0.35">
      <c r="A30" s="9">
        <v>15</v>
      </c>
      <c r="B30" s="10"/>
      <c r="C30" s="57"/>
      <c r="D30" s="57"/>
      <c r="E30" s="11"/>
      <c r="F30" s="11"/>
      <c r="G30" s="68"/>
      <c r="H30" s="11"/>
      <c r="I30" s="11"/>
      <c r="J30" s="11"/>
      <c r="K30" s="11"/>
      <c r="L30" s="11"/>
      <c r="M30" s="54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208"/>
      <c r="AC30" s="208"/>
      <c r="AD30" s="208"/>
      <c r="AE30" s="208"/>
      <c r="AF30" s="208"/>
      <c r="AG30" s="209"/>
    </row>
    <row r="31" spans="1:33" x14ac:dyDescent="0.35">
      <c r="A31" s="9">
        <v>14</v>
      </c>
      <c r="B31" s="10"/>
      <c r="C31" s="57"/>
      <c r="D31" s="57"/>
      <c r="E31" s="11"/>
      <c r="F31" s="11"/>
      <c r="G31" s="68"/>
      <c r="H31" s="11"/>
      <c r="I31" s="11"/>
      <c r="J31" s="11"/>
      <c r="K31" s="11"/>
      <c r="L31" s="11"/>
      <c r="M31" s="54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208"/>
      <c r="AC31" s="208"/>
      <c r="AD31" s="208"/>
      <c r="AE31" s="208"/>
      <c r="AF31" s="208"/>
      <c r="AG31" s="209"/>
    </row>
    <row r="32" spans="1:33" x14ac:dyDescent="0.35">
      <c r="A32" s="9"/>
      <c r="B32" s="10"/>
      <c r="C32" s="57"/>
      <c r="D32" s="57"/>
      <c r="E32" s="11"/>
      <c r="F32" s="11"/>
      <c r="G32" s="68"/>
      <c r="H32" s="11"/>
      <c r="I32" s="11"/>
      <c r="J32" s="11"/>
      <c r="K32" s="11"/>
      <c r="L32" s="11"/>
      <c r="M32" s="54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208"/>
      <c r="AC32" s="208"/>
      <c r="AD32" s="208"/>
      <c r="AE32" s="208"/>
      <c r="AF32" s="208"/>
      <c r="AG32" s="209"/>
    </row>
    <row r="33" spans="1:33" x14ac:dyDescent="0.35">
      <c r="A33" s="9">
        <v>15</v>
      </c>
      <c r="B33" s="10"/>
      <c r="C33" s="57"/>
      <c r="D33" s="57"/>
      <c r="E33" s="11"/>
      <c r="F33" s="11"/>
      <c r="G33" s="68"/>
      <c r="H33" s="11"/>
      <c r="I33" s="11"/>
      <c r="J33" s="11"/>
      <c r="K33" s="11"/>
      <c r="L33" s="11"/>
      <c r="M33" s="54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208"/>
      <c r="AC33" s="208"/>
      <c r="AD33" s="208"/>
      <c r="AE33" s="208"/>
      <c r="AF33" s="208"/>
      <c r="AG33" s="209"/>
    </row>
    <row r="34" spans="1:33" x14ac:dyDescent="0.35">
      <c r="A34" s="9"/>
      <c r="B34" s="10"/>
      <c r="C34" s="57"/>
      <c r="D34" s="57"/>
      <c r="E34" s="11"/>
      <c r="F34" s="11"/>
      <c r="G34" s="68"/>
      <c r="H34" s="11"/>
      <c r="I34" s="11"/>
      <c r="J34" s="11"/>
      <c r="K34" s="11"/>
      <c r="L34" s="11"/>
      <c r="M34" s="54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208"/>
      <c r="AC34" s="208"/>
      <c r="AD34" s="208"/>
      <c r="AE34" s="208"/>
      <c r="AF34" s="208"/>
      <c r="AG34" s="209"/>
    </row>
    <row r="35" spans="1:33" x14ac:dyDescent="0.35">
      <c r="A35" s="9"/>
      <c r="B35" s="10"/>
      <c r="C35" s="57"/>
      <c r="D35" s="57"/>
      <c r="E35" s="11"/>
      <c r="F35" s="11"/>
      <c r="G35" s="68"/>
      <c r="H35" s="11"/>
      <c r="I35" s="11"/>
      <c r="J35" s="11"/>
      <c r="K35" s="11"/>
      <c r="L35" s="11"/>
      <c r="M35" s="54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208"/>
      <c r="AC35" s="208"/>
      <c r="AD35" s="208"/>
      <c r="AE35" s="208"/>
      <c r="AF35" s="208"/>
      <c r="AG35" s="209"/>
    </row>
    <row r="36" spans="1:33" x14ac:dyDescent="0.35">
      <c r="A36" s="9"/>
      <c r="B36" s="10"/>
      <c r="C36" s="57"/>
      <c r="D36" s="57"/>
      <c r="E36" s="11"/>
      <c r="F36" s="11"/>
      <c r="G36" s="68"/>
      <c r="H36" s="11"/>
      <c r="I36" s="11"/>
      <c r="J36" s="11"/>
      <c r="K36" s="11"/>
      <c r="L36" s="11"/>
      <c r="M36" s="54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208"/>
      <c r="AC36" s="208"/>
      <c r="AD36" s="208"/>
      <c r="AE36" s="208"/>
      <c r="AF36" s="208"/>
      <c r="AG36" s="209"/>
    </row>
    <row r="37" spans="1:33" x14ac:dyDescent="0.35">
      <c r="A37" s="9"/>
      <c r="B37" s="10"/>
      <c r="C37" s="57"/>
      <c r="D37" s="57"/>
      <c r="E37" s="11"/>
      <c r="F37" s="11"/>
      <c r="G37" s="68"/>
      <c r="H37" s="11"/>
      <c r="I37" s="11"/>
      <c r="J37" s="11"/>
      <c r="K37" s="11"/>
      <c r="L37" s="11"/>
      <c r="M37" s="54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208"/>
      <c r="AC37" s="208"/>
      <c r="AD37" s="208"/>
      <c r="AE37" s="208"/>
      <c r="AF37" s="208"/>
      <c r="AG37" s="209"/>
    </row>
    <row r="38" spans="1:33" x14ac:dyDescent="0.35">
      <c r="A38" s="9"/>
      <c r="B38" s="10"/>
      <c r="C38" s="57"/>
      <c r="D38" s="57"/>
      <c r="E38" s="11"/>
      <c r="F38" s="11"/>
      <c r="G38" s="68"/>
      <c r="H38" s="11"/>
      <c r="I38" s="11"/>
      <c r="J38" s="11"/>
      <c r="K38" s="11"/>
      <c r="L38" s="11"/>
      <c r="M38" s="54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208"/>
      <c r="AC38" s="208"/>
      <c r="AD38" s="208"/>
      <c r="AE38" s="208"/>
      <c r="AF38" s="208"/>
      <c r="AG38" s="209"/>
    </row>
    <row r="39" spans="1:33" x14ac:dyDescent="0.35">
      <c r="A39" s="9"/>
      <c r="B39" s="10"/>
      <c r="C39" s="57"/>
      <c r="D39" s="57"/>
      <c r="E39" s="11"/>
      <c r="F39" s="11"/>
      <c r="G39" s="68"/>
      <c r="H39" s="11"/>
      <c r="I39" s="11"/>
      <c r="J39" s="11"/>
      <c r="K39" s="11"/>
      <c r="L39" s="11"/>
      <c r="M39" s="54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208"/>
      <c r="AC39" s="208"/>
      <c r="AD39" s="208"/>
      <c r="AE39" s="208"/>
      <c r="AF39" s="208"/>
      <c r="AG39" s="209"/>
    </row>
    <row r="40" spans="1:33" s="7" customFormat="1" ht="18.5" thickBot="1" x14ac:dyDescent="0.45">
      <c r="A40" s="235" t="s">
        <v>23</v>
      </c>
      <c r="B40" s="236"/>
      <c r="C40" s="63">
        <f>SUM(C2:C4)</f>
        <v>0</v>
      </c>
      <c r="D40" s="63">
        <f>SUM(D2:D4)</f>
        <v>0</v>
      </c>
      <c r="E40" s="64">
        <f>SUM(E2:E39)</f>
        <v>52145000</v>
      </c>
      <c r="F40" s="12"/>
      <c r="G40" s="12"/>
      <c r="H40" s="64">
        <f>SUM(H2:H39)</f>
        <v>6261400</v>
      </c>
      <c r="I40" s="64">
        <f>SUM(I2:I39)</f>
        <v>0</v>
      </c>
      <c r="J40" s="64">
        <f t="shared" ref="J40:AF40" si="19">SUM(J2:J38)</f>
        <v>1865000</v>
      </c>
      <c r="K40" s="64">
        <f t="shared" si="19"/>
        <v>730000</v>
      </c>
      <c r="L40" s="64">
        <f t="shared" si="19"/>
        <v>3221500</v>
      </c>
      <c r="M40" s="64">
        <f t="shared" si="19"/>
        <v>2606500</v>
      </c>
      <c r="N40" s="64">
        <f t="shared" si="19"/>
        <v>4594500</v>
      </c>
      <c r="O40" s="64">
        <f t="shared" si="19"/>
        <v>4323500</v>
      </c>
      <c r="P40" s="64">
        <f t="shared" si="19"/>
        <v>0</v>
      </c>
      <c r="Q40" s="64">
        <f t="shared" si="19"/>
        <v>0</v>
      </c>
      <c r="R40" s="64">
        <f t="shared" si="19"/>
        <v>0</v>
      </c>
      <c r="S40" s="64">
        <f t="shared" si="19"/>
        <v>0</v>
      </c>
      <c r="T40" s="64">
        <f t="shared" si="19"/>
        <v>0</v>
      </c>
      <c r="U40" s="64">
        <f t="shared" si="19"/>
        <v>0</v>
      </c>
      <c r="V40" s="64">
        <f t="shared" si="19"/>
        <v>0</v>
      </c>
      <c r="W40" s="64">
        <f t="shared" si="19"/>
        <v>0</v>
      </c>
      <c r="X40" s="64">
        <f t="shared" si="19"/>
        <v>0</v>
      </c>
      <c r="Y40" s="64">
        <f t="shared" si="19"/>
        <v>0</v>
      </c>
      <c r="Z40" s="64">
        <f t="shared" si="19"/>
        <v>0</v>
      </c>
      <c r="AA40" s="64">
        <f t="shared" si="19"/>
        <v>0</v>
      </c>
      <c r="AB40" s="210">
        <f t="shared" si="19"/>
        <v>0</v>
      </c>
      <c r="AC40" s="210">
        <f t="shared" si="19"/>
        <v>0</v>
      </c>
      <c r="AD40" s="210">
        <f t="shared" si="19"/>
        <v>0</v>
      </c>
      <c r="AE40" s="210">
        <f t="shared" si="19"/>
        <v>0</v>
      </c>
      <c r="AF40" s="210">
        <f t="shared" si="19"/>
        <v>0</v>
      </c>
      <c r="AG40" s="210">
        <f>SUM(AG2:AG39)</f>
        <v>0</v>
      </c>
    </row>
    <row r="41" spans="1:33" ht="18" thickBot="1" x14ac:dyDescent="0.4"/>
    <row r="42" spans="1:33" s="80" customFormat="1" ht="18.5" thickTop="1" thickBot="1" x14ac:dyDescent="0.4">
      <c r="B42" s="176" t="s">
        <v>178</v>
      </c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8"/>
    </row>
    <row r="43" spans="1:33" s="80" customFormat="1" ht="18" thickTop="1" x14ac:dyDescent="0.35">
      <c r="B43" s="80" t="s">
        <v>195</v>
      </c>
      <c r="J43" s="80">
        <v>47600</v>
      </c>
    </row>
  </sheetData>
  <mergeCells count="1">
    <mergeCell ref="A40:B40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scale="44" orientation="landscape" r:id="rId1"/>
  <headerFooter>
    <oddHeader>&amp;C&amp;"-,Gras"&amp;20ETAT DETAILLE DE RECOUVREMENT DES DETTES DANS LA MICROFINANCE CAMDVI (Oct-2021-Juillet-2023)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6A335-6949-4FF7-9C48-DEF4A5C97FE7}">
  <sheetPr codeName="Feuil8">
    <tabColor theme="7" tint="-0.499984740745262"/>
  </sheetPr>
  <dimension ref="A1:O50"/>
  <sheetViews>
    <sheetView showGridLines="0" view="pageLayout" topLeftCell="C1" zoomScale="70" zoomScaleNormal="100" zoomScalePageLayoutView="70" workbookViewId="0">
      <selection activeCell="C1" sqref="C1"/>
    </sheetView>
  </sheetViews>
  <sheetFormatPr baseColWidth="10" defaultColWidth="11.453125" defaultRowHeight="15.5" x14ac:dyDescent="0.35"/>
  <cols>
    <col min="1" max="1" width="34.36328125" style="23" customWidth="1"/>
    <col min="2" max="2" width="23.6328125" style="49" customWidth="1"/>
    <col min="3" max="3" width="16.6328125" style="15" customWidth="1"/>
    <col min="4" max="4" width="9.1796875" style="15" customWidth="1"/>
    <col min="5" max="5" width="10.54296875" style="183" customWidth="1"/>
    <col min="6" max="6" width="12.36328125" style="49" customWidth="1"/>
    <col min="7" max="7" width="14.453125" style="23" customWidth="1"/>
    <col min="8" max="8" width="14" style="49" customWidth="1"/>
    <col min="9" max="9" width="10.54296875" style="59" customWidth="1"/>
    <col min="10" max="10" width="14.1796875" style="49" customWidth="1"/>
    <col min="11" max="11" width="15" style="23" customWidth="1"/>
    <col min="12" max="13" width="9" style="47" customWidth="1"/>
    <col min="14" max="14" width="8.453125" style="47" customWidth="1"/>
    <col min="15" max="15" width="11.453125" style="48"/>
  </cols>
  <sheetData>
    <row r="1" spans="1:15" s="2" customFormat="1" ht="17" customHeight="1" x14ac:dyDescent="0.5">
      <c r="A1" s="23"/>
      <c r="B1" s="74" t="s">
        <v>109</v>
      </c>
      <c r="C1" s="182">
        <f>cumul_epargne!C48-recap_prêt!B45+recap_prêt!H45-SUM(recouvrement_dette!I43:AG43)+SUM(recouvrement_dette!I42:AG42)</f>
        <v>4328802.9800000042</v>
      </c>
      <c r="D1" s="23"/>
      <c r="E1" s="184"/>
      <c r="G1" s="59"/>
      <c r="H1" s="59"/>
      <c r="I1" s="59"/>
      <c r="J1" s="59"/>
      <c r="K1" s="23"/>
      <c r="L1" s="60"/>
      <c r="M1" s="60"/>
      <c r="N1" s="60"/>
      <c r="O1" s="61"/>
    </row>
    <row r="2" spans="1:15" ht="15.75" customHeight="1" x14ac:dyDescent="0.35">
      <c r="A2" s="248" t="s">
        <v>72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</row>
    <row r="3" spans="1:15" ht="2" customHeight="1" x14ac:dyDescent="0.35">
      <c r="A3" s="248"/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</row>
    <row r="4" spans="1:15" ht="19" customHeight="1" x14ac:dyDescent="0.35">
      <c r="L4" s="249" t="s">
        <v>261</v>
      </c>
      <c r="M4" s="249"/>
      <c r="N4" s="249"/>
    </row>
    <row r="5" spans="1:15" ht="2" customHeight="1" thickBot="1" x14ac:dyDescent="0.4"/>
    <row r="6" spans="1:15" s="207" customFormat="1" ht="38.5" customHeight="1" thickTop="1" x14ac:dyDescent="0.35">
      <c r="A6" s="198" t="s">
        <v>58</v>
      </c>
      <c r="B6" s="199" t="s">
        <v>59</v>
      </c>
      <c r="C6" s="197" t="s">
        <v>61</v>
      </c>
      <c r="D6" s="197" t="s">
        <v>68</v>
      </c>
      <c r="E6" s="200" t="s">
        <v>69</v>
      </c>
      <c r="F6" s="201" t="s">
        <v>60</v>
      </c>
      <c r="G6" s="202" t="s">
        <v>62</v>
      </c>
      <c r="H6" s="203" t="s">
        <v>94</v>
      </c>
      <c r="I6" s="204" t="s">
        <v>84</v>
      </c>
      <c r="J6" s="205" t="s">
        <v>71</v>
      </c>
      <c r="K6" s="206" t="s">
        <v>53</v>
      </c>
      <c r="L6" s="250" t="s">
        <v>63</v>
      </c>
      <c r="M6" s="250"/>
      <c r="N6" s="251"/>
      <c r="O6" s="50"/>
    </row>
    <row r="7" spans="1:15" s="140" customFormat="1" ht="15.75" customHeight="1" x14ac:dyDescent="0.35">
      <c r="A7" s="69" t="str">
        <f>recouvrement_dette!B2</f>
        <v>action1</v>
      </c>
      <c r="B7" s="75">
        <f>recouvrement_dette!E2</f>
        <v>75000</v>
      </c>
      <c r="C7" s="70"/>
      <c r="D7" s="70"/>
      <c r="E7" s="185">
        <f>recouvrement_dette!G2</f>
        <v>0</v>
      </c>
      <c r="F7" s="75">
        <f>E7*B7</f>
        <v>0</v>
      </c>
      <c r="G7" s="71">
        <v>75000</v>
      </c>
      <c r="H7" s="226">
        <f>SUM(recouvrement_dette!I2:AG2)</f>
        <v>25000</v>
      </c>
      <c r="I7" s="72">
        <f t="shared" ref="I7:I45" si="0">H7/G7</f>
        <v>0.33333333333333331</v>
      </c>
      <c r="J7" s="141">
        <f t="shared" ref="J7:J8" si="1">G7-H7</f>
        <v>50000</v>
      </c>
      <c r="K7" s="73" t="s">
        <v>209</v>
      </c>
      <c r="L7" s="252" t="s">
        <v>64</v>
      </c>
      <c r="M7" s="253"/>
      <c r="N7" s="254"/>
      <c r="O7" s="139"/>
    </row>
    <row r="8" spans="1:15" s="225" customFormat="1" ht="20.5" customHeight="1" x14ac:dyDescent="0.35">
      <c r="A8" s="227" t="str">
        <f>recouvrement_dette!B3</f>
        <v>action2</v>
      </c>
      <c r="B8" s="228">
        <f>recouvrement_dette!E3</f>
        <v>2400000</v>
      </c>
      <c r="C8" s="228" t="str">
        <f>recouvrement_dette!C3</f>
        <v>Fev. 2025</v>
      </c>
      <c r="D8" s="229">
        <f>recouvrement_dette!F3</f>
        <v>20</v>
      </c>
      <c r="E8" s="230">
        <f>recouvrement_dette!G3</f>
        <v>0.2</v>
      </c>
      <c r="F8" s="228">
        <f t="shared" ref="F8" si="2">E8*B8</f>
        <v>480000</v>
      </c>
      <c r="G8" s="228">
        <f t="shared" ref="G8" si="3">B8+F8</f>
        <v>2880000</v>
      </c>
      <c r="H8" s="229">
        <f>SUM(recouvrement_dette!I3:AG3)</f>
        <v>1540000</v>
      </c>
      <c r="I8" s="230">
        <f t="shared" si="0"/>
        <v>0.53472222222222221</v>
      </c>
      <c r="J8" s="228">
        <f t="shared" si="1"/>
        <v>1340000</v>
      </c>
      <c r="K8" s="228" t="str">
        <f>recouvrement_dette!D3</f>
        <v>10 Oct. 2026</v>
      </c>
      <c r="L8" s="255" t="s">
        <v>82</v>
      </c>
      <c r="M8" s="256"/>
      <c r="N8" s="257"/>
      <c r="O8" s="224"/>
    </row>
    <row r="9" spans="1:15" x14ac:dyDescent="0.35">
      <c r="A9" s="231" t="str">
        <f>recouvrement_dette!B4</f>
        <v>action3</v>
      </c>
      <c r="B9" s="232">
        <f>recouvrement_dette!E4</f>
        <v>5500000</v>
      </c>
      <c r="C9" s="232" t="str">
        <f>recouvrement_dette!C4</f>
        <v>Août 2025</v>
      </c>
      <c r="D9" s="233">
        <f>recouvrement_dette!F4</f>
        <v>10</v>
      </c>
      <c r="E9" s="234">
        <f>recouvrement_dette!G4</f>
        <v>0.1</v>
      </c>
      <c r="F9" s="232">
        <f t="shared" ref="F9:F14" si="4">E9*B9</f>
        <v>550000</v>
      </c>
      <c r="G9" s="232">
        <f t="shared" ref="G9" si="5">B9+F9</f>
        <v>6050000</v>
      </c>
      <c r="H9" s="233">
        <f>SUM(recouvrement_dette!I4:AG4)</f>
        <v>2670000</v>
      </c>
      <c r="I9" s="234">
        <f t="shared" ref="I9" si="6">H9/G9</f>
        <v>0.44132231404958677</v>
      </c>
      <c r="J9" s="232">
        <f t="shared" ref="J9" si="7">G9-H9</f>
        <v>3380000</v>
      </c>
      <c r="K9" s="232" t="str">
        <f>recouvrement_dette!D4</f>
        <v>10 Juil. 2026</v>
      </c>
      <c r="L9" s="243" t="s">
        <v>82</v>
      </c>
      <c r="M9" s="244"/>
      <c r="N9" s="245"/>
    </row>
    <row r="10" spans="1:15" x14ac:dyDescent="0.35">
      <c r="A10" s="231" t="str">
        <f>recouvrement_dette!B5</f>
        <v>action4</v>
      </c>
      <c r="B10" s="232">
        <f>recouvrement_dette!E5</f>
        <v>300000</v>
      </c>
      <c r="C10" s="232" t="str">
        <f>recouvrement_dette!C5</f>
        <v>Août 2025</v>
      </c>
      <c r="D10" s="233">
        <f>recouvrement_dette!F5</f>
        <v>12</v>
      </c>
      <c r="E10" s="234">
        <f>recouvrement_dette!G5</f>
        <v>0.18</v>
      </c>
      <c r="F10" s="232">
        <f t="shared" si="4"/>
        <v>54000</v>
      </c>
      <c r="G10" s="232">
        <f t="shared" ref="G10" si="8">B10+F10</f>
        <v>354000</v>
      </c>
      <c r="H10" s="233">
        <f>SUM(recouvrement_dette!I5:AG5)</f>
        <v>118000</v>
      </c>
      <c r="I10" s="234">
        <f t="shared" ref="I10" si="9">H10/G10</f>
        <v>0.33333333333333331</v>
      </c>
      <c r="J10" s="232">
        <f t="shared" ref="J10" si="10">G10-H10</f>
        <v>236000</v>
      </c>
      <c r="K10" s="232" t="str">
        <f>recouvrement_dette!D5</f>
        <v>10 Sept. 2026</v>
      </c>
      <c r="L10" s="243" t="s">
        <v>100</v>
      </c>
      <c r="M10" s="244"/>
      <c r="N10" s="245"/>
    </row>
    <row r="11" spans="1:15" x14ac:dyDescent="0.35">
      <c r="A11" s="231" t="str">
        <f>recouvrement_dette!B6</f>
        <v>action5</v>
      </c>
      <c r="B11" s="232">
        <f>recouvrement_dette!E6</f>
        <v>1850000</v>
      </c>
      <c r="C11" s="232" t="str">
        <f>recouvrement_dette!C6</f>
        <v>Août 2025</v>
      </c>
      <c r="D11" s="233">
        <f>recouvrement_dette!F6</f>
        <v>24</v>
      </c>
      <c r="E11" s="234">
        <f>recouvrement_dette!G6</f>
        <v>0.24</v>
      </c>
      <c r="F11" s="232">
        <f t="shared" si="4"/>
        <v>444000</v>
      </c>
      <c r="G11" s="232">
        <f t="shared" ref="G11" si="11">B11+F11</f>
        <v>2294000</v>
      </c>
      <c r="H11" s="233">
        <f>SUM(recouvrement_dette!I6:AG6)</f>
        <v>400000</v>
      </c>
      <c r="I11" s="234">
        <f t="shared" ref="I11" si="12">H11/G11</f>
        <v>0.17436791630340018</v>
      </c>
      <c r="J11" s="232">
        <f t="shared" ref="J11" si="13">G11-H11</f>
        <v>1894000</v>
      </c>
      <c r="K11" s="232" t="str">
        <f>recouvrement_dette!D6</f>
        <v>10 Sept. 2027</v>
      </c>
      <c r="L11" s="243" t="s">
        <v>100</v>
      </c>
      <c r="M11" s="244"/>
      <c r="N11" s="245"/>
    </row>
    <row r="12" spans="1:15" x14ac:dyDescent="0.35">
      <c r="A12" s="231" t="str">
        <f>recouvrement_dette!B7</f>
        <v>action6</v>
      </c>
      <c r="B12" s="232">
        <f>recouvrement_dette!E7</f>
        <v>3700000</v>
      </c>
      <c r="C12" s="232" t="str">
        <f>recouvrement_dette!C7</f>
        <v>Août 2025</v>
      </c>
      <c r="D12" s="233">
        <f>recouvrement_dette!F7</f>
        <v>12</v>
      </c>
      <c r="E12" s="234">
        <f>recouvrement_dette!G7</f>
        <v>0.12</v>
      </c>
      <c r="F12" s="232">
        <f t="shared" si="4"/>
        <v>444000</v>
      </c>
      <c r="G12" s="232">
        <f t="shared" ref="G12" si="14">B12+F12</f>
        <v>4144000</v>
      </c>
      <c r="H12" s="233">
        <f>SUM(recouvrement_dette!I7:AG7)</f>
        <v>1364334</v>
      </c>
      <c r="I12" s="234">
        <f t="shared" ref="I12" si="15">H12/G12</f>
        <v>0.32923117760617759</v>
      </c>
      <c r="J12" s="232">
        <f t="shared" ref="J12" si="16">G12-H12</f>
        <v>2779666</v>
      </c>
      <c r="K12" s="232" t="str">
        <f>recouvrement_dette!D7</f>
        <v>10 Sept. 2026</v>
      </c>
      <c r="L12" s="243" t="s">
        <v>100</v>
      </c>
      <c r="M12" s="244"/>
      <c r="N12" s="245"/>
    </row>
    <row r="13" spans="1:15" x14ac:dyDescent="0.35">
      <c r="A13" s="231" t="str">
        <f>recouvrement_dette!B8</f>
        <v>action7</v>
      </c>
      <c r="B13" s="232">
        <f>recouvrement_dette!E8</f>
        <v>4000000</v>
      </c>
      <c r="C13" s="232" t="str">
        <f>recouvrement_dette!C8</f>
        <v>Août 2025</v>
      </c>
      <c r="D13" s="233">
        <f>recouvrement_dette!F8</f>
        <v>12</v>
      </c>
      <c r="E13" s="234">
        <f>recouvrement_dette!G8</f>
        <v>0.12</v>
      </c>
      <c r="F13" s="232">
        <f t="shared" si="4"/>
        <v>480000</v>
      </c>
      <c r="G13" s="232">
        <f t="shared" ref="G13" si="17">B13+F13</f>
        <v>4480000</v>
      </c>
      <c r="H13" s="233">
        <f>SUM(recouvrement_dette!I8:AG8)</f>
        <v>1493333</v>
      </c>
      <c r="I13" s="234">
        <f t="shared" ref="I13" si="18">H13/G13</f>
        <v>0.33333325892857141</v>
      </c>
      <c r="J13" s="232">
        <f t="shared" ref="J13" si="19">G13-H13</f>
        <v>2986667</v>
      </c>
      <c r="K13" s="232" t="str">
        <f>recouvrement_dette!D8</f>
        <v>10 Sept. 2026</v>
      </c>
      <c r="L13" s="243" t="s">
        <v>82</v>
      </c>
      <c r="M13" s="244"/>
      <c r="N13" s="245"/>
    </row>
    <row r="14" spans="1:15" x14ac:dyDescent="0.35">
      <c r="A14" s="231" t="str">
        <f>recouvrement_dette!B9</f>
        <v>action8</v>
      </c>
      <c r="B14" s="232">
        <f>recouvrement_dette!E9</f>
        <v>4000000</v>
      </c>
      <c r="C14" s="232" t="str">
        <f>recouvrement_dette!C9</f>
        <v>Août 2025</v>
      </c>
      <c r="D14" s="233">
        <f>recouvrement_dette!F9</f>
        <v>10</v>
      </c>
      <c r="E14" s="234">
        <f>recouvrement_dette!G9</f>
        <v>0.1</v>
      </c>
      <c r="F14" s="232">
        <f t="shared" si="4"/>
        <v>400000</v>
      </c>
      <c r="G14" s="232">
        <f t="shared" ref="G14" si="20">B14+F14</f>
        <v>4400000</v>
      </c>
      <c r="H14" s="233">
        <f>SUM(recouvrement_dette!I9:AG9)</f>
        <v>1600000</v>
      </c>
      <c r="I14" s="234">
        <f t="shared" ref="I14" si="21">H14/G14</f>
        <v>0.36363636363636365</v>
      </c>
      <c r="J14" s="232">
        <f t="shared" ref="J14" si="22">G14-H14</f>
        <v>2800000</v>
      </c>
      <c r="K14" s="232" t="str">
        <f>recouvrement_dette!D9</f>
        <v>10 Juil. 2026</v>
      </c>
      <c r="L14" s="243" t="s">
        <v>82</v>
      </c>
      <c r="M14" s="244"/>
      <c r="N14" s="245"/>
    </row>
    <row r="15" spans="1:15" x14ac:dyDescent="0.35">
      <c r="A15" s="231" t="str">
        <f>recouvrement_dette!B10</f>
        <v>action9</v>
      </c>
      <c r="B15" s="232">
        <f>recouvrement_dette!E10</f>
        <v>1150000</v>
      </c>
      <c r="C15" s="232" t="str">
        <f>recouvrement_dette!C10</f>
        <v>Août 2025</v>
      </c>
      <c r="D15" s="233">
        <f>recouvrement_dette!F10</f>
        <v>12</v>
      </c>
      <c r="E15" s="234">
        <f>recouvrement_dette!G10</f>
        <v>0.12</v>
      </c>
      <c r="F15" s="232">
        <f t="shared" ref="F15:F16" si="23">E15*B15</f>
        <v>138000</v>
      </c>
      <c r="G15" s="232">
        <f t="shared" ref="G15:G16" si="24">B15+F15</f>
        <v>1288000</v>
      </c>
      <c r="H15" s="233">
        <f>SUM(recouvrement_dette!I10:AG10)</f>
        <v>310000</v>
      </c>
      <c r="I15" s="234">
        <f t="shared" ref="I15:I16" si="25">H15/G15</f>
        <v>0.24068322981366461</v>
      </c>
      <c r="J15" s="232">
        <f t="shared" ref="J15:J16" si="26">G15-H15</f>
        <v>978000</v>
      </c>
      <c r="K15" s="232" t="str">
        <f>recouvrement_dette!D10</f>
        <v>10 Sept. 2026</v>
      </c>
      <c r="L15" s="243" t="s">
        <v>100</v>
      </c>
      <c r="M15" s="244"/>
      <c r="N15" s="245"/>
    </row>
    <row r="16" spans="1:15" ht="15.5" customHeight="1" x14ac:dyDescent="0.35">
      <c r="A16" s="231" t="str">
        <f>recouvrement_dette!B11</f>
        <v>action10</v>
      </c>
      <c r="B16" s="232">
        <f>recouvrement_dette!E11</f>
        <v>4000000</v>
      </c>
      <c r="C16" s="232" t="str">
        <f>recouvrement_dette!C11</f>
        <v>Août 2025</v>
      </c>
      <c r="D16" s="233">
        <f>recouvrement_dette!F11</f>
        <v>9</v>
      </c>
      <c r="E16" s="234">
        <f>recouvrement_dette!G11</f>
        <v>0.09</v>
      </c>
      <c r="F16" s="232">
        <f t="shared" si="23"/>
        <v>360000</v>
      </c>
      <c r="G16" s="232">
        <f t="shared" si="24"/>
        <v>4360000</v>
      </c>
      <c r="H16" s="233">
        <f>SUM(recouvrement_dette!I11:AG11)</f>
        <v>1940000</v>
      </c>
      <c r="I16" s="234">
        <f t="shared" si="25"/>
        <v>0.44495412844036697</v>
      </c>
      <c r="J16" s="232">
        <f t="shared" si="26"/>
        <v>2420000</v>
      </c>
      <c r="K16" s="232" t="str">
        <f>recouvrement_dette!D11</f>
        <v>10 Juin. 2026</v>
      </c>
      <c r="L16" s="243" t="s">
        <v>100</v>
      </c>
      <c r="M16" s="244"/>
      <c r="N16" s="245"/>
    </row>
    <row r="17" spans="1:14" ht="15.5" customHeight="1" x14ac:dyDescent="0.35">
      <c r="A17" s="231" t="str">
        <f>recouvrement_dette!B12</f>
        <v>action11</v>
      </c>
      <c r="B17" s="232">
        <f>recouvrement_dette!E12</f>
        <v>4000000</v>
      </c>
      <c r="C17" s="232" t="str">
        <f>recouvrement_dette!C12</f>
        <v>Août 2025</v>
      </c>
      <c r="D17" s="233">
        <f>recouvrement_dette!F12</f>
        <v>12</v>
      </c>
      <c r="E17" s="234">
        <f>recouvrement_dette!G12</f>
        <v>0.12</v>
      </c>
      <c r="F17" s="232">
        <f t="shared" ref="F17" si="27">E17*B17</f>
        <v>480000</v>
      </c>
      <c r="G17" s="232">
        <f t="shared" ref="G17" si="28">B17+F17</f>
        <v>4480000</v>
      </c>
      <c r="H17" s="233">
        <f>SUM(recouvrement_dette!I12:AG12)</f>
        <v>1493333</v>
      </c>
      <c r="I17" s="234">
        <f t="shared" ref="I17" si="29">H17/G17</f>
        <v>0.33333325892857141</v>
      </c>
      <c r="J17" s="232">
        <f t="shared" ref="J17" si="30">G17-H17</f>
        <v>2986667</v>
      </c>
      <c r="K17" s="232" t="str">
        <f>recouvrement_dette!D12</f>
        <v>10 Sept. 2026</v>
      </c>
      <c r="L17" s="243" t="s">
        <v>100</v>
      </c>
      <c r="M17" s="244"/>
      <c r="N17" s="245"/>
    </row>
    <row r="18" spans="1:14" ht="15.5" customHeight="1" x14ac:dyDescent="0.35">
      <c r="A18" s="231" t="str">
        <f>recouvrement_dette!B13</f>
        <v>action12</v>
      </c>
      <c r="B18" s="232">
        <f>recouvrement_dette!E13</f>
        <v>1500000</v>
      </c>
      <c r="C18" s="232" t="str">
        <f>recouvrement_dette!C13</f>
        <v>Août 2025</v>
      </c>
      <c r="D18" s="233">
        <f>recouvrement_dette!F13</f>
        <v>10</v>
      </c>
      <c r="E18" s="234">
        <f>recouvrement_dette!G13</f>
        <v>0.1</v>
      </c>
      <c r="F18" s="232">
        <f t="shared" ref="F18" si="31">E18*B18</f>
        <v>150000</v>
      </c>
      <c r="G18" s="232">
        <f t="shared" ref="G18" si="32">B18+F18</f>
        <v>1650000</v>
      </c>
      <c r="H18" s="233">
        <f>SUM(recouvrement_dette!I13:AG13)</f>
        <v>495000</v>
      </c>
      <c r="I18" s="234">
        <f t="shared" ref="I18" si="33">H18/G18</f>
        <v>0.3</v>
      </c>
      <c r="J18" s="232">
        <f t="shared" ref="J18" si="34">G18-H18</f>
        <v>1155000</v>
      </c>
      <c r="K18" s="232" t="str">
        <f>recouvrement_dette!D13</f>
        <v>10 Juil. 2026</v>
      </c>
      <c r="L18" s="243" t="s">
        <v>100</v>
      </c>
      <c r="M18" s="244"/>
      <c r="N18" s="245"/>
    </row>
    <row r="19" spans="1:14" ht="15.5" customHeight="1" x14ac:dyDescent="0.35">
      <c r="A19" s="231" t="str">
        <f>recouvrement_dette!B14</f>
        <v>action13</v>
      </c>
      <c r="B19" s="232">
        <f>recouvrement_dette!E14</f>
        <v>3000000</v>
      </c>
      <c r="C19" s="232" t="str">
        <f>recouvrement_dette!C14</f>
        <v>Août 2025</v>
      </c>
      <c r="D19" s="233">
        <f>recouvrement_dette!F14</f>
        <v>12</v>
      </c>
      <c r="E19" s="234">
        <f>recouvrement_dette!G14</f>
        <v>0.12</v>
      </c>
      <c r="F19" s="232">
        <f t="shared" ref="F19:F20" si="35">E19*B19</f>
        <v>360000</v>
      </c>
      <c r="G19" s="232">
        <f t="shared" ref="G19:G20" si="36">B19+F19</f>
        <v>3360000</v>
      </c>
      <c r="H19" s="233">
        <f>SUM(recouvrement_dette!I14:AG14)</f>
        <v>840000</v>
      </c>
      <c r="I19" s="234">
        <f t="shared" ref="I19:I20" si="37">H19/G19</f>
        <v>0.25</v>
      </c>
      <c r="J19" s="232">
        <f t="shared" ref="J19:J20" si="38">G19-H19</f>
        <v>2520000</v>
      </c>
      <c r="K19" s="232" t="str">
        <f>recouvrement_dette!D14</f>
        <v>10 Sept. 2026</v>
      </c>
      <c r="L19" s="243" t="s">
        <v>100</v>
      </c>
      <c r="M19" s="244"/>
      <c r="N19" s="245"/>
    </row>
    <row r="20" spans="1:14" ht="15.5" customHeight="1" x14ac:dyDescent="0.35">
      <c r="A20" s="231" t="str">
        <f>recouvrement_dette!B15</f>
        <v>action14</v>
      </c>
      <c r="B20" s="232">
        <f>recouvrement_dette!E15</f>
        <v>3000000</v>
      </c>
      <c r="C20" s="232" t="str">
        <f>recouvrement_dette!C15</f>
        <v>Octobre 2025</v>
      </c>
      <c r="D20" s="233">
        <f>recouvrement_dette!F15</f>
        <v>18</v>
      </c>
      <c r="E20" s="234">
        <f>recouvrement_dette!G15</f>
        <v>0.18</v>
      </c>
      <c r="F20" s="232">
        <f t="shared" si="35"/>
        <v>540000</v>
      </c>
      <c r="G20" s="232">
        <f t="shared" si="36"/>
        <v>3540000</v>
      </c>
      <c r="H20" s="233">
        <f>SUM(recouvrement_dette!I15:AG15)</f>
        <v>425000</v>
      </c>
      <c r="I20" s="234">
        <f t="shared" si="37"/>
        <v>0.12005649717514125</v>
      </c>
      <c r="J20" s="232">
        <f t="shared" si="38"/>
        <v>3115000</v>
      </c>
      <c r="K20" s="232" t="str">
        <f>recouvrement_dette!D15</f>
        <v>10 Mai. 2027</v>
      </c>
      <c r="L20" s="243" t="s">
        <v>100</v>
      </c>
      <c r="M20" s="244"/>
      <c r="N20" s="245"/>
    </row>
    <row r="21" spans="1:14" ht="15.5" customHeight="1" x14ac:dyDescent="0.35">
      <c r="A21" s="231" t="str">
        <f>recouvrement_dette!B16</f>
        <v>action15</v>
      </c>
      <c r="B21" s="232">
        <f>recouvrement_dette!E16</f>
        <v>2500000</v>
      </c>
      <c r="C21" s="232" t="str">
        <f>recouvrement_dette!C16</f>
        <v>Octobre 2025</v>
      </c>
      <c r="D21" s="233">
        <f>recouvrement_dette!F16</f>
        <v>10</v>
      </c>
      <c r="E21" s="234">
        <f>recouvrement_dette!G16</f>
        <v>0.1</v>
      </c>
      <c r="F21" s="232">
        <f t="shared" ref="F21" si="39">E21*B21</f>
        <v>250000</v>
      </c>
      <c r="G21" s="232">
        <f t="shared" ref="G21" si="40">B21+F21</f>
        <v>2750000</v>
      </c>
      <c r="H21" s="233">
        <f>SUM(recouvrement_dette!I16:AG16)</f>
        <v>550000</v>
      </c>
      <c r="I21" s="234">
        <f t="shared" ref="I21" si="41">H21/G21</f>
        <v>0.2</v>
      </c>
      <c r="J21" s="232">
        <f t="shared" ref="J21" si="42">G21-H21</f>
        <v>2200000</v>
      </c>
      <c r="K21" s="232" t="str">
        <f>recouvrement_dette!D16</f>
        <v>10 Sept. 2026</v>
      </c>
      <c r="L21" s="243" t="s">
        <v>100</v>
      </c>
      <c r="M21" s="244"/>
      <c r="N21" s="245"/>
    </row>
    <row r="22" spans="1:14" ht="15.5" customHeight="1" x14ac:dyDescent="0.35">
      <c r="A22" s="231" t="str">
        <f>recouvrement_dette!B17</f>
        <v>action16</v>
      </c>
      <c r="B22" s="232">
        <f>recouvrement_dette!E17</f>
        <v>1000000</v>
      </c>
      <c r="C22" s="232" t="str">
        <f>recouvrement_dette!C17</f>
        <v>Octobre 2025</v>
      </c>
      <c r="D22" s="233">
        <f>recouvrement_dette!F17</f>
        <v>3</v>
      </c>
      <c r="E22" s="234">
        <f>recouvrement_dette!G17</f>
        <v>0.03</v>
      </c>
      <c r="F22" s="232">
        <f t="shared" ref="F22" si="43">E22*B22</f>
        <v>30000</v>
      </c>
      <c r="G22" s="232">
        <f t="shared" ref="G22" si="44">B22+F22</f>
        <v>1030000</v>
      </c>
      <c r="H22" s="233">
        <f>SUM(recouvrement_dette!I17:AG17)</f>
        <v>1030000</v>
      </c>
      <c r="I22" s="234">
        <f t="shared" ref="I22" si="45">H22/G22</f>
        <v>1</v>
      </c>
      <c r="J22" s="232">
        <f t="shared" ref="J22" si="46">G22-H22</f>
        <v>0</v>
      </c>
      <c r="K22" s="232" t="str">
        <f>recouvrement_dette!D17</f>
        <v>10 Fév. 2026</v>
      </c>
      <c r="L22" s="243" t="s">
        <v>100</v>
      </c>
      <c r="M22" s="244"/>
      <c r="N22" s="245"/>
    </row>
    <row r="23" spans="1:14" ht="15.5" customHeight="1" x14ac:dyDescent="0.35">
      <c r="A23" s="231" t="str">
        <f>recouvrement_dette!B18</f>
        <v>action17</v>
      </c>
      <c r="B23" s="232">
        <f>recouvrement_dette!E18</f>
        <v>1570000</v>
      </c>
      <c r="C23" s="232" t="str">
        <f>recouvrement_dette!C18</f>
        <v>Novemvre 2025</v>
      </c>
      <c r="D23" s="233">
        <f>recouvrement_dette!F18</f>
        <v>12</v>
      </c>
      <c r="E23" s="234">
        <f>recouvrement_dette!G18</f>
        <v>0.12</v>
      </c>
      <c r="F23" s="232">
        <f t="shared" ref="F23" si="47">E23*B23</f>
        <v>188400</v>
      </c>
      <c r="G23" s="232">
        <f t="shared" ref="G23" si="48">B23+F23</f>
        <v>1758400</v>
      </c>
      <c r="H23" s="233">
        <f>SUM(recouvrement_dette!I18:AG18)</f>
        <v>147000</v>
      </c>
      <c r="I23" s="234">
        <f t="shared" ref="I23" si="49">H23/G23</f>
        <v>8.3598726114649677E-2</v>
      </c>
      <c r="J23" s="232">
        <f t="shared" ref="J23" si="50">G23-H23</f>
        <v>1611400</v>
      </c>
      <c r="K23" s="232" t="str">
        <f>recouvrement_dette!D18</f>
        <v>10 Déc. 2026</v>
      </c>
      <c r="L23" s="243" t="s">
        <v>100</v>
      </c>
      <c r="M23" s="244"/>
      <c r="N23" s="245"/>
    </row>
    <row r="24" spans="1:14" ht="15.5" customHeight="1" x14ac:dyDescent="0.35">
      <c r="A24" s="231" t="str">
        <f>recouvrement_dette!B19</f>
        <v>action18</v>
      </c>
      <c r="B24" s="232">
        <f>recouvrement_dette!E19</f>
        <v>3100000</v>
      </c>
      <c r="C24" s="232" t="str">
        <f>recouvrement_dette!C19</f>
        <v>Novemvre 2025</v>
      </c>
      <c r="D24" s="233">
        <f>recouvrement_dette!F19</f>
        <v>3</v>
      </c>
      <c r="E24" s="234">
        <f>recouvrement_dette!G19</f>
        <v>0.03</v>
      </c>
      <c r="F24" s="232">
        <f t="shared" ref="F24" si="51">E24*B24</f>
        <v>93000</v>
      </c>
      <c r="G24" s="232">
        <f t="shared" ref="G24" si="52">B24+F24</f>
        <v>3193000</v>
      </c>
      <c r="H24" s="233">
        <f>SUM(recouvrement_dette!I19:AG19)</f>
        <v>900000</v>
      </c>
      <c r="I24" s="234">
        <f t="shared" ref="I24" si="53">H24/G24</f>
        <v>0.281866583150642</v>
      </c>
      <c r="J24" s="232">
        <f>G24-H24</f>
        <v>2293000</v>
      </c>
      <c r="K24" s="232" t="str">
        <f>recouvrement_dette!D19</f>
        <v>10 Mars. 2026</v>
      </c>
      <c r="L24" s="243" t="s">
        <v>82</v>
      </c>
      <c r="M24" s="244"/>
      <c r="N24" s="245"/>
    </row>
    <row r="25" spans="1:14" ht="15.5" customHeight="1" x14ac:dyDescent="0.35">
      <c r="A25" s="231" t="str">
        <f>recouvrement_dette!B20</f>
        <v>action19</v>
      </c>
      <c r="B25" s="232">
        <f>recouvrement_dette!E20</f>
        <v>2500000</v>
      </c>
      <c r="C25" s="232" t="str">
        <f>recouvrement_dette!C20</f>
        <v>Decembre 2025</v>
      </c>
      <c r="D25" s="233">
        <f>recouvrement_dette!F20</f>
        <v>4</v>
      </c>
      <c r="E25" s="234">
        <f>recouvrement_dette!G20</f>
        <v>0.04</v>
      </c>
      <c r="F25" s="232">
        <f t="shared" ref="F25" si="54">E25*B25</f>
        <v>100000</v>
      </c>
      <c r="G25" s="232">
        <f t="shared" ref="G25" si="55">B25+F25</f>
        <v>2600000</v>
      </c>
      <c r="H25" s="233">
        <f>SUM(recouvrement_dette!I20:AG20)</f>
        <v>0</v>
      </c>
      <c r="I25" s="234">
        <f t="shared" ref="I25" si="56">H25/G25</f>
        <v>0</v>
      </c>
      <c r="J25" s="232">
        <f t="shared" ref="J25" si="57">G25-H25</f>
        <v>2600000</v>
      </c>
      <c r="K25" s="232" t="str">
        <f>recouvrement_dette!D20</f>
        <v>10 Mai 2026</v>
      </c>
      <c r="L25" s="243" t="s">
        <v>100</v>
      </c>
      <c r="M25" s="244"/>
      <c r="N25" s="245"/>
    </row>
    <row r="26" spans="1:14" ht="15.5" customHeight="1" x14ac:dyDescent="0.35">
      <c r="A26" s="231" t="str">
        <f>recouvrement_dette!B21</f>
        <v>action20</v>
      </c>
      <c r="B26" s="232">
        <f>recouvrement_dette!E21</f>
        <v>3000000</v>
      </c>
      <c r="C26" s="232" t="str">
        <f>recouvrement_dette!C21</f>
        <v>Janvier 2026</v>
      </c>
      <c r="D26" s="233">
        <f>recouvrement_dette!F21</f>
        <v>24</v>
      </c>
      <c r="E26" s="234">
        <f>recouvrement_dette!G21</f>
        <v>0.24</v>
      </c>
      <c r="F26" s="232">
        <f>E26*B26</f>
        <v>720000</v>
      </c>
      <c r="G26" s="232">
        <f t="shared" ref="G26" si="58">B26+F26</f>
        <v>3720000</v>
      </c>
      <c r="H26" s="233">
        <f>SUM(recouvrement_dette!I21:AG21)</f>
        <v>0</v>
      </c>
      <c r="I26" s="234">
        <f t="shared" ref="I26" si="59">H26/G26</f>
        <v>0</v>
      </c>
      <c r="J26" s="232">
        <f t="shared" ref="J26" si="60">G26-H26</f>
        <v>3720000</v>
      </c>
      <c r="K26" s="232" t="str">
        <f>recouvrement_dette!D21</f>
        <v>10 Fév 2028</v>
      </c>
      <c r="L26" s="243" t="s">
        <v>82</v>
      </c>
      <c r="M26" s="244"/>
      <c r="N26" s="245"/>
    </row>
    <row r="27" spans="1:14" ht="15.5" customHeight="1" x14ac:dyDescent="0.35">
      <c r="A27" s="231">
        <f>recouvrement_dette!B22</f>
        <v>0</v>
      </c>
      <c r="B27" s="232">
        <f>recouvrement_dette!E22</f>
        <v>0</v>
      </c>
      <c r="C27" s="232">
        <f>recouvrement_dette!C22</f>
        <v>0</v>
      </c>
      <c r="D27" s="233">
        <f>recouvrement_dette!F22</f>
        <v>0</v>
      </c>
      <c r="E27" s="234">
        <f>recouvrement_dette!G22</f>
        <v>0</v>
      </c>
      <c r="F27" s="232">
        <f t="shared" ref="F27" si="61">E27*B27</f>
        <v>0</v>
      </c>
      <c r="G27" s="232">
        <f t="shared" ref="G27" si="62">B27+F27</f>
        <v>0</v>
      </c>
      <c r="H27" s="233">
        <f>SUM(recouvrement_dette!I22:AG22)</f>
        <v>0</v>
      </c>
      <c r="I27" s="234" t="e">
        <f t="shared" ref="I27" si="63">H27/G27</f>
        <v>#DIV/0!</v>
      </c>
      <c r="J27" s="232">
        <f t="shared" ref="J27" si="64">G27-H27</f>
        <v>0</v>
      </c>
      <c r="K27" s="232">
        <f>recouvrement_dette!D22</f>
        <v>0</v>
      </c>
      <c r="L27" s="243" t="s">
        <v>100</v>
      </c>
      <c r="M27" s="244"/>
      <c r="N27" s="245"/>
    </row>
    <row r="28" spans="1:14" ht="15.5" customHeight="1" x14ac:dyDescent="0.35">
      <c r="A28" s="231">
        <f>recouvrement_dette!B23</f>
        <v>0</v>
      </c>
      <c r="B28" s="232">
        <f>recouvrement_dette!E23</f>
        <v>0</v>
      </c>
      <c r="C28" s="232">
        <f>recouvrement_dette!C23</f>
        <v>0</v>
      </c>
      <c r="D28" s="233">
        <f>recouvrement_dette!F23</f>
        <v>0</v>
      </c>
      <c r="E28" s="234">
        <f>recouvrement_dette!G23</f>
        <v>0</v>
      </c>
      <c r="F28" s="232">
        <f t="shared" ref="F28" si="65">E28*B28</f>
        <v>0</v>
      </c>
      <c r="G28" s="232">
        <f t="shared" ref="G28" si="66">B28+F28</f>
        <v>0</v>
      </c>
      <c r="H28" s="233">
        <f>SUM(recouvrement_dette!I23:AG23)</f>
        <v>0</v>
      </c>
      <c r="I28" s="234" t="e">
        <f t="shared" ref="I28" si="67">H28/G28</f>
        <v>#DIV/0!</v>
      </c>
      <c r="J28" s="232">
        <f t="shared" ref="J28" si="68">G28-H28</f>
        <v>0</v>
      </c>
      <c r="K28" s="232">
        <f>recouvrement_dette!D23</f>
        <v>0</v>
      </c>
      <c r="L28" s="243" t="s">
        <v>100</v>
      </c>
      <c r="M28" s="244"/>
      <c r="N28" s="245"/>
    </row>
    <row r="29" spans="1:14" ht="15.5" customHeight="1" x14ac:dyDescent="0.35">
      <c r="A29" s="231">
        <f>recouvrement_dette!B24</f>
        <v>0</v>
      </c>
      <c r="B29" s="232">
        <f>recouvrement_dette!E24</f>
        <v>0</v>
      </c>
      <c r="C29" s="232">
        <f>recouvrement_dette!C24</f>
        <v>0</v>
      </c>
      <c r="D29" s="233">
        <f>recouvrement_dette!F24</f>
        <v>0</v>
      </c>
      <c r="E29" s="234">
        <f>recouvrement_dette!G24</f>
        <v>0</v>
      </c>
      <c r="F29" s="232">
        <f t="shared" ref="F29" si="69">E29*B29</f>
        <v>0</v>
      </c>
      <c r="G29" s="232">
        <f t="shared" ref="G29" si="70">B29+F29</f>
        <v>0</v>
      </c>
      <c r="H29" s="233">
        <f>SUM(recouvrement_dette!I24:AG24)</f>
        <v>0</v>
      </c>
      <c r="I29" s="234" t="e">
        <f t="shared" ref="I29" si="71">H29/G29</f>
        <v>#DIV/0!</v>
      </c>
      <c r="J29" s="232">
        <f t="shared" ref="J29" si="72">G29-H29</f>
        <v>0</v>
      </c>
      <c r="K29" s="232">
        <f>recouvrement_dette!D24</f>
        <v>0</v>
      </c>
      <c r="L29" s="243" t="s">
        <v>82</v>
      </c>
      <c r="M29" s="244"/>
      <c r="N29" s="245"/>
    </row>
    <row r="30" spans="1:14" ht="15.5" customHeight="1" x14ac:dyDescent="0.35">
      <c r="A30" s="231">
        <f>recouvrement_dette!B25</f>
        <v>0</v>
      </c>
      <c r="B30" s="232">
        <f>recouvrement_dette!E25</f>
        <v>0</v>
      </c>
      <c r="C30" s="232">
        <f>recouvrement_dette!C25</f>
        <v>0</v>
      </c>
      <c r="D30" s="233">
        <f>recouvrement_dette!F25</f>
        <v>0</v>
      </c>
      <c r="E30" s="234">
        <f>recouvrement_dette!G25</f>
        <v>0</v>
      </c>
      <c r="F30" s="232">
        <f t="shared" ref="F30" si="73">E30*B30</f>
        <v>0</v>
      </c>
      <c r="G30" s="232">
        <f t="shared" ref="G30" si="74">B30+F30</f>
        <v>0</v>
      </c>
      <c r="H30" s="233">
        <f>SUM(recouvrement_dette!I25:AG25)</f>
        <v>0</v>
      </c>
      <c r="I30" s="234" t="e">
        <f t="shared" ref="I30" si="75">H30/G30</f>
        <v>#DIV/0!</v>
      </c>
      <c r="J30" s="232">
        <f>G30-H30</f>
        <v>0</v>
      </c>
      <c r="K30" s="232">
        <f>recouvrement_dette!D25</f>
        <v>0</v>
      </c>
      <c r="L30" s="243" t="s">
        <v>82</v>
      </c>
      <c r="M30" s="244"/>
      <c r="N30" s="245"/>
    </row>
    <row r="31" spans="1:14" ht="15.5" customHeight="1" x14ac:dyDescent="0.35">
      <c r="A31" s="231">
        <f>recouvrement_dette!B26</f>
        <v>0</v>
      </c>
      <c r="B31" s="232">
        <f>recouvrement_dette!E26</f>
        <v>0</v>
      </c>
      <c r="C31" s="232">
        <f>recouvrement_dette!C26</f>
        <v>0</v>
      </c>
      <c r="D31" s="233">
        <f>recouvrement_dette!F26</f>
        <v>0</v>
      </c>
      <c r="E31" s="234">
        <f>recouvrement_dette!G26</f>
        <v>0</v>
      </c>
      <c r="F31" s="232">
        <f t="shared" ref="F31:F34" si="76">E31*B31</f>
        <v>0</v>
      </c>
      <c r="G31" s="232">
        <f t="shared" ref="G31" si="77">B31+F31</f>
        <v>0</v>
      </c>
      <c r="H31" s="233">
        <f>SUM(recouvrement_dette!I26:AG26)</f>
        <v>0</v>
      </c>
      <c r="I31" s="234" t="e">
        <f t="shared" ref="I31:I34" si="78">H31/G31</f>
        <v>#DIV/0!</v>
      </c>
      <c r="J31" s="232">
        <f t="shared" ref="J31:J34" si="79">G31-H31</f>
        <v>0</v>
      </c>
      <c r="K31" s="232">
        <f>recouvrement_dette!D26</f>
        <v>0</v>
      </c>
      <c r="L31" s="243" t="s">
        <v>82</v>
      </c>
      <c r="M31" s="244"/>
      <c r="N31" s="245"/>
    </row>
    <row r="32" spans="1:14" ht="15.5" customHeight="1" x14ac:dyDescent="0.35">
      <c r="A32" s="231">
        <f>recouvrement_dette!B27</f>
        <v>0</v>
      </c>
      <c r="B32" s="232">
        <f>recouvrement_dette!E27</f>
        <v>0</v>
      </c>
      <c r="C32" s="232">
        <f>recouvrement_dette!C27</f>
        <v>0</v>
      </c>
      <c r="D32" s="233">
        <f>recouvrement_dette!F27</f>
        <v>0</v>
      </c>
      <c r="E32" s="234">
        <f>recouvrement_dette!G27</f>
        <v>0</v>
      </c>
      <c r="F32" s="232">
        <f t="shared" si="76"/>
        <v>0</v>
      </c>
      <c r="G32" s="232">
        <f t="shared" ref="G32" si="80">B32+F32</f>
        <v>0</v>
      </c>
      <c r="H32" s="233">
        <f>SUM(recouvrement_dette!I27:AG27)</f>
        <v>0</v>
      </c>
      <c r="I32" s="234" t="e">
        <f t="shared" si="78"/>
        <v>#DIV/0!</v>
      </c>
      <c r="J32" s="232">
        <f t="shared" si="79"/>
        <v>0</v>
      </c>
      <c r="K32" s="232">
        <f>recouvrement_dette!D27</f>
        <v>0</v>
      </c>
      <c r="L32" s="243" t="s">
        <v>82</v>
      </c>
      <c r="M32" s="244"/>
      <c r="N32" s="245"/>
    </row>
    <row r="33" spans="1:15" ht="15.5" customHeight="1" x14ac:dyDescent="0.35">
      <c r="A33" s="231">
        <f>recouvrement_dette!B28</f>
        <v>0</v>
      </c>
      <c r="B33" s="232">
        <f>recouvrement_dette!E28</f>
        <v>0</v>
      </c>
      <c r="C33" s="232">
        <f>recouvrement_dette!C28</f>
        <v>0</v>
      </c>
      <c r="D33" s="233">
        <f>recouvrement_dette!F28</f>
        <v>0</v>
      </c>
      <c r="E33" s="234">
        <f>recouvrement_dette!G28</f>
        <v>0</v>
      </c>
      <c r="F33" s="232">
        <f t="shared" si="76"/>
        <v>0</v>
      </c>
      <c r="G33" s="232">
        <f t="shared" ref="G33" si="81">B33+F33</f>
        <v>0</v>
      </c>
      <c r="H33" s="233">
        <f>SUM(recouvrement_dette!I28:AG28)</f>
        <v>0</v>
      </c>
      <c r="I33" s="234" t="e">
        <f t="shared" si="78"/>
        <v>#DIV/0!</v>
      </c>
      <c r="J33" s="232">
        <f t="shared" si="79"/>
        <v>0</v>
      </c>
      <c r="K33" s="232">
        <f>recouvrement_dette!D28</f>
        <v>0</v>
      </c>
      <c r="L33" s="243" t="s">
        <v>82</v>
      </c>
      <c r="M33" s="244"/>
      <c r="N33" s="245"/>
    </row>
    <row r="34" spans="1:15" ht="15.5" customHeight="1" x14ac:dyDescent="0.35">
      <c r="A34" s="231">
        <f>recouvrement_dette!B29</f>
        <v>0</v>
      </c>
      <c r="B34" s="232">
        <f>recouvrement_dette!E29</f>
        <v>0</v>
      </c>
      <c r="C34" s="232">
        <f>recouvrement_dette!C29</f>
        <v>0</v>
      </c>
      <c r="D34" s="233">
        <f>recouvrement_dette!F29</f>
        <v>0</v>
      </c>
      <c r="E34" s="234">
        <f>recouvrement_dette!G29</f>
        <v>0</v>
      </c>
      <c r="F34" s="232">
        <f t="shared" si="76"/>
        <v>0</v>
      </c>
      <c r="G34" s="232">
        <f t="shared" ref="G34" si="82">B34+F34</f>
        <v>0</v>
      </c>
      <c r="H34" s="233">
        <f>SUM(recouvrement_dette!I29:AG29)</f>
        <v>0</v>
      </c>
      <c r="I34" s="234" t="e">
        <f t="shared" si="78"/>
        <v>#DIV/0!</v>
      </c>
      <c r="J34" s="232">
        <f t="shared" si="79"/>
        <v>0</v>
      </c>
      <c r="K34" s="232">
        <f>recouvrement_dette!D29</f>
        <v>0</v>
      </c>
      <c r="L34" s="243" t="s">
        <v>100</v>
      </c>
      <c r="M34" s="244"/>
      <c r="N34" s="245"/>
    </row>
    <row r="35" spans="1:15" ht="15.5" customHeight="1" x14ac:dyDescent="0.35">
      <c r="A35" s="231">
        <f>recouvrement_dette!B30</f>
        <v>0</v>
      </c>
      <c r="B35" s="232">
        <f>recouvrement_dette!E30</f>
        <v>0</v>
      </c>
      <c r="C35" s="232">
        <f>recouvrement_dette!C30</f>
        <v>0</v>
      </c>
      <c r="D35" s="233">
        <f>recouvrement_dette!F30</f>
        <v>0</v>
      </c>
      <c r="E35" s="234">
        <f>recouvrement_dette!G30</f>
        <v>0</v>
      </c>
      <c r="F35" s="232">
        <f t="shared" ref="F35" si="83">E35*B35</f>
        <v>0</v>
      </c>
      <c r="G35" s="232">
        <f t="shared" ref="G35" si="84">B35+F35</f>
        <v>0</v>
      </c>
      <c r="H35" s="233">
        <f>SUM(recouvrement_dette!I30:AG30)</f>
        <v>0</v>
      </c>
      <c r="I35" s="234" t="e">
        <f t="shared" ref="I35" si="85">H35/G35</f>
        <v>#DIV/0!</v>
      </c>
      <c r="J35" s="232">
        <f t="shared" ref="J35" si="86">G35-H35</f>
        <v>0</v>
      </c>
      <c r="K35" s="232">
        <f>recouvrement_dette!D30</f>
        <v>0</v>
      </c>
      <c r="L35" s="243" t="s">
        <v>82</v>
      </c>
      <c r="M35" s="244"/>
      <c r="N35" s="245"/>
    </row>
    <row r="36" spans="1:15" ht="15.5" customHeight="1" x14ac:dyDescent="0.35">
      <c r="A36" s="231">
        <f>recouvrement_dette!B31</f>
        <v>0</v>
      </c>
      <c r="B36" s="232">
        <f>recouvrement_dette!E31</f>
        <v>0</v>
      </c>
      <c r="C36" s="232">
        <f>recouvrement_dette!C31</f>
        <v>0</v>
      </c>
      <c r="D36" s="233">
        <f>recouvrement_dette!F31</f>
        <v>0</v>
      </c>
      <c r="E36" s="234">
        <f>recouvrement_dette!G31</f>
        <v>0</v>
      </c>
      <c r="F36" s="232">
        <f t="shared" ref="F36" si="87">E36*B36</f>
        <v>0</v>
      </c>
      <c r="G36" s="232">
        <f t="shared" ref="G36" si="88">B36+F36</f>
        <v>0</v>
      </c>
      <c r="H36" s="233">
        <f>SUM(recouvrement_dette!I31:AG31)</f>
        <v>0</v>
      </c>
      <c r="I36" s="234" t="e">
        <f t="shared" ref="I36" si="89">H36/G36</f>
        <v>#DIV/0!</v>
      </c>
      <c r="J36" s="232">
        <f t="shared" ref="J36" si="90">G36-H36</f>
        <v>0</v>
      </c>
      <c r="K36" s="232">
        <f>recouvrement_dette!D31</f>
        <v>0</v>
      </c>
      <c r="L36" s="243" t="s">
        <v>82</v>
      </c>
      <c r="M36" s="244"/>
      <c r="N36" s="245"/>
    </row>
    <row r="37" spans="1:15" ht="15.5" customHeight="1" x14ac:dyDescent="0.35">
      <c r="A37" s="231">
        <f>recouvrement_dette!B32</f>
        <v>0</v>
      </c>
      <c r="B37" s="232">
        <f>recouvrement_dette!E32</f>
        <v>0</v>
      </c>
      <c r="C37" s="232">
        <f>recouvrement_dette!C32</f>
        <v>0</v>
      </c>
      <c r="D37" s="233">
        <f>recouvrement_dette!F32</f>
        <v>0</v>
      </c>
      <c r="E37" s="234">
        <f>recouvrement_dette!G32</f>
        <v>0</v>
      </c>
      <c r="F37" s="232">
        <f t="shared" ref="F37" si="91">E37*B37</f>
        <v>0</v>
      </c>
      <c r="G37" s="232">
        <f t="shared" ref="G37" si="92">B37+F37</f>
        <v>0</v>
      </c>
      <c r="H37" s="233">
        <f>SUM(recouvrement_dette!I32:AG32)</f>
        <v>0</v>
      </c>
      <c r="I37" s="234" t="e">
        <f t="shared" ref="I37" si="93">H37/G37</f>
        <v>#DIV/0!</v>
      </c>
      <c r="J37" s="232">
        <f t="shared" ref="J37" si="94">G37-H37</f>
        <v>0</v>
      </c>
      <c r="K37" s="232">
        <f>recouvrement_dette!D32</f>
        <v>0</v>
      </c>
      <c r="L37" s="243" t="s">
        <v>82</v>
      </c>
      <c r="M37" s="244"/>
      <c r="N37" s="245"/>
    </row>
    <row r="38" spans="1:15" ht="15.5" customHeight="1" x14ac:dyDescent="0.35">
      <c r="A38" s="231">
        <f>recouvrement_dette!B33</f>
        <v>0</v>
      </c>
      <c r="B38" s="232">
        <f>recouvrement_dette!E33</f>
        <v>0</v>
      </c>
      <c r="C38" s="232">
        <f>recouvrement_dette!C33</f>
        <v>0</v>
      </c>
      <c r="D38" s="233">
        <f>recouvrement_dette!F33</f>
        <v>0</v>
      </c>
      <c r="E38" s="234">
        <f>recouvrement_dette!G33</f>
        <v>0</v>
      </c>
      <c r="F38" s="232">
        <f t="shared" ref="F38" si="95">E38*B38</f>
        <v>0</v>
      </c>
      <c r="G38" s="232">
        <f t="shared" ref="G38" si="96">B38+F38</f>
        <v>0</v>
      </c>
      <c r="H38" s="233">
        <f>SUM(recouvrement_dette!I33:AG33)</f>
        <v>0</v>
      </c>
      <c r="I38" s="234" t="e">
        <f t="shared" ref="I38" si="97">H38/G38</f>
        <v>#DIV/0!</v>
      </c>
      <c r="J38" s="232">
        <f t="shared" ref="J38" si="98">G38-H38</f>
        <v>0</v>
      </c>
      <c r="K38" s="232">
        <f>recouvrement_dette!D33</f>
        <v>0</v>
      </c>
      <c r="L38" s="243" t="s">
        <v>100</v>
      </c>
      <c r="M38" s="244"/>
      <c r="N38" s="245"/>
    </row>
    <row r="39" spans="1:15" ht="15.5" customHeight="1" x14ac:dyDescent="0.35">
      <c r="A39" s="231">
        <f>recouvrement_dette!B34</f>
        <v>0</v>
      </c>
      <c r="B39" s="232">
        <f>recouvrement_dette!E34</f>
        <v>0</v>
      </c>
      <c r="C39" s="232">
        <f>recouvrement_dette!C34</f>
        <v>0</v>
      </c>
      <c r="D39" s="233">
        <f>recouvrement_dette!F34</f>
        <v>0</v>
      </c>
      <c r="E39" s="234">
        <f>recouvrement_dette!G34</f>
        <v>0</v>
      </c>
      <c r="F39" s="232">
        <f t="shared" ref="F39" si="99">E39*B39</f>
        <v>0</v>
      </c>
      <c r="G39" s="232">
        <f t="shared" ref="G39" si="100">B39+F39</f>
        <v>0</v>
      </c>
      <c r="H39" s="233">
        <f>SUM(recouvrement_dette!I34:AG34)</f>
        <v>0</v>
      </c>
      <c r="I39" s="234" t="e">
        <f t="shared" ref="I39" si="101">H39/G39</f>
        <v>#DIV/0!</v>
      </c>
      <c r="J39" s="232">
        <f t="shared" ref="J39" si="102">G39-H39</f>
        <v>0</v>
      </c>
      <c r="K39" s="232">
        <f>recouvrement_dette!D34</f>
        <v>0</v>
      </c>
      <c r="L39" s="243" t="s">
        <v>100</v>
      </c>
      <c r="M39" s="244"/>
      <c r="N39" s="245"/>
    </row>
    <row r="40" spans="1:15" ht="15.5" customHeight="1" x14ac:dyDescent="0.35">
      <c r="A40" s="231">
        <f>recouvrement_dette!B35</f>
        <v>0</v>
      </c>
      <c r="B40" s="232">
        <f>recouvrement_dette!E35</f>
        <v>0</v>
      </c>
      <c r="C40" s="232">
        <f>recouvrement_dette!C35</f>
        <v>0</v>
      </c>
      <c r="D40" s="233">
        <f>recouvrement_dette!F35</f>
        <v>0</v>
      </c>
      <c r="E40" s="234">
        <f>recouvrement_dette!G35</f>
        <v>0</v>
      </c>
      <c r="F40" s="232">
        <f t="shared" ref="F40" si="103">E40*B40</f>
        <v>0</v>
      </c>
      <c r="G40" s="232">
        <f t="shared" ref="G40" si="104">B40+F40</f>
        <v>0</v>
      </c>
      <c r="H40" s="233">
        <f>SUM(recouvrement_dette!I35:AG35)</f>
        <v>0</v>
      </c>
      <c r="I40" s="234" t="e">
        <f t="shared" ref="I40" si="105">H40/G40</f>
        <v>#DIV/0!</v>
      </c>
      <c r="J40" s="232">
        <f t="shared" ref="J40" si="106">G40-H40</f>
        <v>0</v>
      </c>
      <c r="K40" s="232">
        <f>recouvrement_dette!D35</f>
        <v>0</v>
      </c>
      <c r="L40" s="243" t="s">
        <v>82</v>
      </c>
      <c r="M40" s="244"/>
      <c r="N40" s="245"/>
    </row>
    <row r="41" spans="1:15" ht="15.5" customHeight="1" x14ac:dyDescent="0.35">
      <c r="A41" s="231">
        <f>recouvrement_dette!B36</f>
        <v>0</v>
      </c>
      <c r="B41" s="232">
        <f>recouvrement_dette!E36</f>
        <v>0</v>
      </c>
      <c r="C41" s="232">
        <f>recouvrement_dette!C36</f>
        <v>0</v>
      </c>
      <c r="D41" s="233">
        <f>recouvrement_dette!F36</f>
        <v>0</v>
      </c>
      <c r="E41" s="234">
        <f>recouvrement_dette!G36</f>
        <v>0</v>
      </c>
      <c r="F41" s="232">
        <f t="shared" ref="F41" si="107">E41*B41</f>
        <v>0</v>
      </c>
      <c r="G41" s="232">
        <f t="shared" ref="G41" si="108">B41+F41</f>
        <v>0</v>
      </c>
      <c r="H41" s="233">
        <f>SUM(recouvrement_dette!I36:AG36)</f>
        <v>0</v>
      </c>
      <c r="I41" s="234" t="e">
        <f t="shared" ref="I41" si="109">H41/G41</f>
        <v>#DIV/0!</v>
      </c>
      <c r="J41" s="232">
        <f t="shared" ref="J41" si="110">G41-H41</f>
        <v>0</v>
      </c>
      <c r="K41" s="232">
        <f>recouvrement_dette!D36</f>
        <v>0</v>
      </c>
      <c r="L41" s="243" t="s">
        <v>82</v>
      </c>
      <c r="M41" s="244"/>
      <c r="N41" s="245"/>
    </row>
    <row r="42" spans="1:15" ht="15.5" customHeight="1" x14ac:dyDescent="0.35">
      <c r="A42" s="231">
        <f>recouvrement_dette!B37</f>
        <v>0</v>
      </c>
      <c r="B42" s="232">
        <f>recouvrement_dette!E37</f>
        <v>0</v>
      </c>
      <c r="C42" s="232">
        <f>recouvrement_dette!C37</f>
        <v>0</v>
      </c>
      <c r="D42" s="233">
        <f>recouvrement_dette!F37</f>
        <v>0</v>
      </c>
      <c r="E42" s="234">
        <f>recouvrement_dette!G37</f>
        <v>0</v>
      </c>
      <c r="F42" s="232">
        <f t="shared" ref="F42" si="111">E42*B42</f>
        <v>0</v>
      </c>
      <c r="G42" s="232">
        <f t="shared" ref="G42" si="112">B42+F42</f>
        <v>0</v>
      </c>
      <c r="H42" s="233">
        <f>SUM(recouvrement_dette!I37:AG37)</f>
        <v>0</v>
      </c>
      <c r="I42" s="234" t="e">
        <f t="shared" ref="I42" si="113">H42/G42</f>
        <v>#DIV/0!</v>
      </c>
      <c r="J42" s="232">
        <f t="shared" ref="J42" si="114">G42-H42</f>
        <v>0</v>
      </c>
      <c r="K42" s="232">
        <f>recouvrement_dette!D37</f>
        <v>0</v>
      </c>
      <c r="L42" s="243" t="s">
        <v>82</v>
      </c>
      <c r="M42" s="244"/>
      <c r="N42" s="245"/>
    </row>
    <row r="43" spans="1:15" ht="15.5" customHeight="1" x14ac:dyDescent="0.35">
      <c r="A43" s="231">
        <f>recouvrement_dette!B38</f>
        <v>0</v>
      </c>
      <c r="B43" s="232">
        <f>recouvrement_dette!E38</f>
        <v>0</v>
      </c>
      <c r="C43" s="232">
        <f>recouvrement_dette!C38</f>
        <v>0</v>
      </c>
      <c r="D43" s="233">
        <f>recouvrement_dette!F38</f>
        <v>0</v>
      </c>
      <c r="E43" s="234">
        <f>recouvrement_dette!G38</f>
        <v>0</v>
      </c>
      <c r="F43" s="232">
        <f t="shared" ref="F43" si="115">E43*B43</f>
        <v>0</v>
      </c>
      <c r="G43" s="232">
        <f t="shared" ref="G43" si="116">B43+F43</f>
        <v>0</v>
      </c>
      <c r="H43" s="233">
        <f>SUM(recouvrement_dette!I38:AG38)</f>
        <v>0</v>
      </c>
      <c r="I43" s="234" t="e">
        <f t="shared" ref="I43" si="117">H43/G43</f>
        <v>#DIV/0!</v>
      </c>
      <c r="J43" s="232">
        <f t="shared" ref="J43" si="118">G43-H43</f>
        <v>0</v>
      </c>
      <c r="K43" s="232">
        <f>recouvrement_dette!D38</f>
        <v>0</v>
      </c>
      <c r="L43" s="243" t="s">
        <v>82</v>
      </c>
      <c r="M43" s="244"/>
      <c r="N43" s="245"/>
    </row>
    <row r="44" spans="1:15" ht="15.5" customHeight="1" x14ac:dyDescent="0.35">
      <c r="A44" s="231">
        <f>recouvrement_dette!B39</f>
        <v>0</v>
      </c>
      <c r="B44" s="232">
        <f>recouvrement_dette!E39</f>
        <v>0</v>
      </c>
      <c r="C44" s="232">
        <f>recouvrement_dette!C39</f>
        <v>0</v>
      </c>
      <c r="D44" s="233">
        <f>recouvrement_dette!F39</f>
        <v>0</v>
      </c>
      <c r="E44" s="234">
        <f>recouvrement_dette!G39</f>
        <v>0</v>
      </c>
      <c r="F44" s="232">
        <f t="shared" ref="F44" si="119">E44*B44</f>
        <v>0</v>
      </c>
      <c r="G44" s="232">
        <f t="shared" ref="G44" si="120">B44+F44</f>
        <v>0</v>
      </c>
      <c r="H44" s="233">
        <f>SUM(recouvrement_dette!I39:AG39)</f>
        <v>0</v>
      </c>
      <c r="I44" s="234" t="e">
        <f t="shared" ref="I44" si="121">H44/G44</f>
        <v>#DIV/0!</v>
      </c>
      <c r="J44" s="232">
        <f t="shared" ref="J44" si="122">G44-H44</f>
        <v>0</v>
      </c>
      <c r="K44" s="232">
        <f>recouvrement_dette!D39</f>
        <v>0</v>
      </c>
      <c r="L44" s="243" t="s">
        <v>82</v>
      </c>
      <c r="M44" s="244"/>
      <c r="N44" s="245"/>
    </row>
    <row r="45" spans="1:15" s="2" customFormat="1" x14ac:dyDescent="0.35">
      <c r="A45" s="23" t="s">
        <v>81</v>
      </c>
      <c r="B45" s="59">
        <f>SUM(B8:B44)</f>
        <v>52070000</v>
      </c>
      <c r="C45" s="23"/>
      <c r="D45" s="23"/>
      <c r="E45" s="184"/>
      <c r="F45" s="59">
        <f>SUM(F8:F44)</f>
        <v>6261400</v>
      </c>
      <c r="G45" s="59">
        <f>SUM(G8:G44)</f>
        <v>58331400</v>
      </c>
      <c r="H45" s="59">
        <f>SUM(H7:H44)</f>
        <v>17341000</v>
      </c>
      <c r="I45" s="62">
        <f t="shared" si="0"/>
        <v>0.29728413856002084</v>
      </c>
      <c r="J45" s="59">
        <f>SUM(J8:J44)</f>
        <v>41015400</v>
      </c>
      <c r="K45" s="23"/>
      <c r="L45" s="60"/>
      <c r="M45" s="60"/>
      <c r="N45" s="60"/>
      <c r="O45" s="61"/>
    </row>
    <row r="46" spans="1:15" ht="8" customHeight="1" x14ac:dyDescent="0.35">
      <c r="A46" s="247" t="s">
        <v>93</v>
      </c>
      <c r="B46" s="247"/>
      <c r="C46" s="247"/>
      <c r="D46" s="247"/>
      <c r="E46" s="247"/>
      <c r="F46" s="247"/>
      <c r="G46" s="247"/>
      <c r="H46" s="247"/>
      <c r="I46" s="247"/>
      <c r="J46" s="247"/>
      <c r="K46" s="247"/>
      <c r="L46" s="247"/>
      <c r="M46" s="247"/>
      <c r="N46" s="247"/>
    </row>
    <row r="47" spans="1:15" ht="15.75" hidden="1" customHeight="1" x14ac:dyDescent="0.35">
      <c r="A47" s="247"/>
      <c r="B47" s="247"/>
      <c r="C47" s="247"/>
      <c r="D47" s="247"/>
      <c r="E47" s="247"/>
      <c r="F47" s="247"/>
      <c r="G47" s="247"/>
      <c r="H47" s="247"/>
      <c r="I47" s="247"/>
      <c r="J47" s="247"/>
      <c r="K47" s="247"/>
      <c r="L47" s="247"/>
      <c r="M47" s="247"/>
      <c r="N47" s="247"/>
    </row>
    <row r="48" spans="1:15" ht="5.5" customHeight="1" x14ac:dyDescent="0.35">
      <c r="A48" s="247"/>
      <c r="B48" s="247"/>
      <c r="C48" s="247"/>
      <c r="D48" s="247"/>
      <c r="E48" s="247"/>
      <c r="F48" s="247"/>
      <c r="G48" s="247"/>
      <c r="H48" s="247"/>
      <c r="I48" s="247"/>
      <c r="J48" s="247"/>
      <c r="K48" s="247"/>
      <c r="L48" s="247"/>
      <c r="M48" s="247"/>
      <c r="N48" s="247"/>
    </row>
    <row r="49" spans="1:14" ht="15.5" customHeight="1" x14ac:dyDescent="0.45">
      <c r="A49" s="246" t="s">
        <v>99</v>
      </c>
      <c r="B49" s="246"/>
      <c r="C49" s="246"/>
      <c r="D49" s="246"/>
      <c r="E49" s="246"/>
      <c r="F49" s="246"/>
      <c r="G49" s="246"/>
      <c r="H49" s="246"/>
      <c r="I49" s="65"/>
      <c r="J49" s="65"/>
      <c r="K49" s="65"/>
      <c r="L49" s="65"/>
      <c r="M49" s="78"/>
      <c r="N49" s="65"/>
    </row>
    <row r="50" spans="1:14" ht="15.75" customHeight="1" x14ac:dyDescent="0.45">
      <c r="A50" s="65"/>
      <c r="B50" s="65"/>
      <c r="C50" s="65"/>
      <c r="D50" s="65"/>
      <c r="E50" s="186"/>
      <c r="F50" s="65"/>
      <c r="G50" s="65"/>
      <c r="H50" s="65"/>
      <c r="I50" s="65"/>
      <c r="J50" s="65"/>
      <c r="K50" s="65"/>
      <c r="L50" s="65"/>
      <c r="M50" s="65"/>
      <c r="N50" s="65"/>
    </row>
  </sheetData>
  <mergeCells count="43">
    <mergeCell ref="L28:N28"/>
    <mergeCell ref="L29:N29"/>
    <mergeCell ref="L27:N27"/>
    <mergeCell ref="L23:N23"/>
    <mergeCell ref="L24:N24"/>
    <mergeCell ref="L26:N26"/>
    <mergeCell ref="L19:N19"/>
    <mergeCell ref="L20:N20"/>
    <mergeCell ref="L21:N21"/>
    <mergeCell ref="L22:N22"/>
    <mergeCell ref="L25:N25"/>
    <mergeCell ref="A2:N3"/>
    <mergeCell ref="L4:N4"/>
    <mergeCell ref="L6:N6"/>
    <mergeCell ref="L7:N7"/>
    <mergeCell ref="L8:N8"/>
    <mergeCell ref="L9:N9"/>
    <mergeCell ref="L10:N10"/>
    <mergeCell ref="A46:N48"/>
    <mergeCell ref="L11:N11"/>
    <mergeCell ref="L12:N12"/>
    <mergeCell ref="L13:N13"/>
    <mergeCell ref="L14:N14"/>
    <mergeCell ref="L15:N15"/>
    <mergeCell ref="L16:N16"/>
    <mergeCell ref="L17:N17"/>
    <mergeCell ref="L18:N18"/>
    <mergeCell ref="L31:N31"/>
    <mergeCell ref="L32:N32"/>
    <mergeCell ref="L30:N30"/>
    <mergeCell ref="L33:N33"/>
    <mergeCell ref="L34:N34"/>
    <mergeCell ref="L35:N35"/>
    <mergeCell ref="L36:N36"/>
    <mergeCell ref="A49:H49"/>
    <mergeCell ref="L37:N37"/>
    <mergeCell ref="L38:N38"/>
    <mergeCell ref="L39:N39"/>
    <mergeCell ref="L40:N40"/>
    <mergeCell ref="L41:N41"/>
    <mergeCell ref="L42:N42"/>
    <mergeCell ref="L43:N43"/>
    <mergeCell ref="L44:N44"/>
  </mergeCells>
  <phoneticPr fontId="12" type="noConversion"/>
  <conditionalFormatting sqref="J7:J44">
    <cfRule type="cellIs" dxfId="0" priority="13" operator="equal">
      <formula>0</formula>
    </cfRule>
  </conditionalFormatting>
  <pageMargins left="0.7" right="0.7" top="0.75" bottom="0.75" header="0.3" footer="0.3"/>
  <pageSetup paperSize="9" scale="6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29386-5841-46AA-9F0F-A63C50B4234E}">
  <sheetPr codeName="Feuil9">
    <tabColor rgb="FF00B0F0"/>
  </sheetPr>
  <dimension ref="A1:L60"/>
  <sheetViews>
    <sheetView showGridLines="0" topLeftCell="A25" zoomScale="47" zoomScaleNormal="47" workbookViewId="0">
      <selection activeCell="D54" sqref="D54"/>
    </sheetView>
  </sheetViews>
  <sheetFormatPr baseColWidth="10" defaultColWidth="11.453125" defaultRowHeight="18" x14ac:dyDescent="0.4"/>
  <cols>
    <col min="1" max="1" width="3.54296875" style="82" bestFit="1" customWidth="1"/>
    <col min="2" max="2" width="26.36328125" style="83" bestFit="1" customWidth="1"/>
    <col min="3" max="3" width="21.90625" style="84" customWidth="1"/>
    <col min="4" max="4" width="12.6328125" style="84" bestFit="1" customWidth="1"/>
    <col min="5" max="5" width="14.81640625" style="84" bestFit="1" customWidth="1"/>
    <col min="6" max="6" width="15.54296875" style="84" bestFit="1" customWidth="1"/>
    <col min="7" max="7" width="13.6328125" style="84" bestFit="1" customWidth="1"/>
    <col min="8" max="8" width="8.1796875" style="84" bestFit="1" customWidth="1"/>
    <col min="9" max="9" width="7.90625" style="117" bestFit="1" customWidth="1"/>
    <col min="10" max="10" width="16.54296875" style="8" customWidth="1"/>
    <col min="11" max="16384" width="11.453125" style="8"/>
  </cols>
  <sheetData>
    <row r="1" spans="1:10" ht="17.5" customHeight="1" x14ac:dyDescent="0.4">
      <c r="I1" s="258" t="str">
        <f>recap_prêt!L4</f>
        <v>Janvier. 2026</v>
      </c>
      <c r="J1" s="258"/>
    </row>
    <row r="2" spans="1:10" ht="18.5" thickBot="1" x14ac:dyDescent="0.45"/>
    <row r="3" spans="1:10" s="151" customFormat="1" ht="61" thickTop="1" thickBot="1" x14ac:dyDescent="0.4">
      <c r="A3" s="152" t="s">
        <v>20</v>
      </c>
      <c r="B3" s="153" t="s">
        <v>21</v>
      </c>
      <c r="C3" s="153" t="s">
        <v>24</v>
      </c>
      <c r="D3" s="153" t="s">
        <v>152</v>
      </c>
      <c r="E3" s="172" t="s">
        <v>175</v>
      </c>
      <c r="F3" s="154" t="s">
        <v>182</v>
      </c>
      <c r="G3" s="154" t="s">
        <v>181</v>
      </c>
      <c r="H3" s="155" t="s">
        <v>153</v>
      </c>
      <c r="I3" s="156" t="s">
        <v>174</v>
      </c>
      <c r="J3" s="173" t="s">
        <v>180</v>
      </c>
    </row>
    <row r="4" spans="1:10" thickBot="1" x14ac:dyDescent="0.4">
      <c r="A4" s="157">
        <f>IF(apport_mensuel_calcul!A2=0,"",apport_mensuel_calcul!A2)</f>
        <v>1</v>
      </c>
      <c r="B4" s="158" t="str">
        <f>IF(apport_mensuel_calcul!B2=0,"",apport_mensuel_calcul!B2)</f>
        <v>ACTIONNIRE1</v>
      </c>
      <c r="C4" s="159">
        <f>IF(apport_mensuel_calcul!BV2=0,"",apport_mensuel_calcul!BV2)</f>
        <v>981801.76963500306</v>
      </c>
      <c r="D4" s="159">
        <f>IF(apport_mensuel_calcul!BW2=0,"",apport_mensuel_calcul!BW2)</f>
        <v>161474.28071474715</v>
      </c>
      <c r="E4" s="171">
        <f>IF(apport_mensuel_calcul!BX2=0,"",apport_mensuel_calcul!BX2)</f>
        <v>1143276.0503497501</v>
      </c>
      <c r="F4" s="159" t="str">
        <f>IF(apport_mensuel_calcul!BY2=0,"",apport_mensuel_calcul!BY2)</f>
        <v/>
      </c>
      <c r="G4" s="159">
        <f>IF(apport_mensuel_calcul!BZ2=0,"",apport_mensuel_calcul!BZ2)</f>
        <v>1143276.0503497501</v>
      </c>
      <c r="H4" s="180">
        <f>IF(apport_mensuel_calcul!CA2=0,"",apport_mensuel_calcul!CA2)</f>
        <v>0.16446729442622335</v>
      </c>
      <c r="I4" s="180">
        <f>IF(apport_mensuel_calcul!CB2=0,"",apport_mensuel_calcul!CB2)</f>
        <v>2.5200718923345002E-2</v>
      </c>
      <c r="J4" s="174">
        <f>IF(apport_mensuel_calcul!CC2=0,"",apport_mensuel_calcul!CC2)</f>
        <v>109088.94717351833</v>
      </c>
    </row>
    <row r="5" spans="1:10" thickBot="1" x14ac:dyDescent="0.4">
      <c r="A5" s="157">
        <f>IF(apport_mensuel_calcul!A3=0,"",apport_mensuel_calcul!A3)</f>
        <v>2</v>
      </c>
      <c r="B5" s="158" t="str">
        <f>IF(apport_mensuel_calcul!B3=0,"",apport_mensuel_calcul!B3)</f>
        <v>ACTIONNIRE2</v>
      </c>
      <c r="C5" s="159">
        <f>IF(apport_mensuel_calcul!BV3=0,"",apport_mensuel_calcul!BV3)</f>
        <v>570897.46969589533</v>
      </c>
      <c r="D5" s="159">
        <f>IF(apport_mensuel_calcul!BW3=0,"",apport_mensuel_calcul!BW3)</f>
        <v>86449.042937779741</v>
      </c>
      <c r="E5" s="171">
        <f>IF(apport_mensuel_calcul!BX3=0,"",apport_mensuel_calcul!BX3)</f>
        <v>657346.51263367501</v>
      </c>
      <c r="F5" s="159" t="str">
        <f>IF(apport_mensuel_calcul!BY3=0,"",apport_mensuel_calcul!BY3)</f>
        <v/>
      </c>
      <c r="G5" s="159">
        <f>IF(apport_mensuel_calcul!BZ3=0,"",apport_mensuel_calcul!BZ3)</f>
        <v>657346.51263367501</v>
      </c>
      <c r="H5" s="180">
        <f>IF(apport_mensuel_calcul!CA3=0,"",apport_mensuel_calcul!CA3)</f>
        <v>0.15142656523566178</v>
      </c>
      <c r="I5" s="180">
        <f>IF(apport_mensuel_calcul!CB3=0,"",apport_mensuel_calcul!CB3)</f>
        <v>1.4489593038404471E-2</v>
      </c>
      <c r="J5" s="174">
        <f>IF(apport_mensuel_calcul!CC3=0,"",apport_mensuel_calcul!CC3)</f>
        <v>62722.593523632589</v>
      </c>
    </row>
    <row r="6" spans="1:10" thickBot="1" x14ac:dyDescent="0.4">
      <c r="A6" s="157">
        <f>IF(apport_mensuel_calcul!A4=0,"",apport_mensuel_calcul!A4)</f>
        <v>3</v>
      </c>
      <c r="B6" s="158" t="str">
        <f>IF(apport_mensuel_calcul!B4=0,"",apport_mensuel_calcul!B4)</f>
        <v>ACTIONNIRE3</v>
      </c>
      <c r="C6" s="159">
        <f>IF(apport_mensuel_calcul!BV4=0,"",apport_mensuel_calcul!BV4)</f>
        <v>4008079.7542285733</v>
      </c>
      <c r="D6" s="159">
        <f>IF(apport_mensuel_calcul!BW4=0,"",apport_mensuel_calcul!BW4)</f>
        <v>667719.3451375115</v>
      </c>
      <c r="E6" s="171">
        <f>IF(apport_mensuel_calcul!BX4=0,"",apport_mensuel_calcul!BX4)</f>
        <v>4675799.0993660847</v>
      </c>
      <c r="F6" s="159" t="str">
        <f>IF(apport_mensuel_calcul!BY4=0,"",apport_mensuel_calcul!BY4)</f>
        <v/>
      </c>
      <c r="G6" s="159">
        <f>IF(apport_mensuel_calcul!BZ4=0,"",apport_mensuel_calcul!BZ4)</f>
        <v>4675799.0993660847</v>
      </c>
      <c r="H6" s="180">
        <f>IF(apport_mensuel_calcul!CA4=0,"",apport_mensuel_calcul!CA4)</f>
        <v>0.16659332799779231</v>
      </c>
      <c r="I6" s="180">
        <f>IF(apport_mensuel_calcul!CB4=0,"",apport_mensuel_calcul!CB4)</f>
        <v>0.10306653306443957</v>
      </c>
      <c r="J6" s="174">
        <f>IF(apport_mensuel_calcul!CC4=0,"",apport_mensuel_calcul!CC4)</f>
        <v>446154.71546761494</v>
      </c>
    </row>
    <row r="7" spans="1:10" ht="31.5" thickBot="1" x14ac:dyDescent="0.4">
      <c r="A7" s="157">
        <f>IF(apport_mensuel_calcul!A5=0,"",apport_mensuel_calcul!A5)</f>
        <v>4</v>
      </c>
      <c r="B7" s="158" t="str">
        <f>IF(apport_mensuel_calcul!B5=0,"",apport_mensuel_calcul!B5)</f>
        <v>ACTIONNIRE4</v>
      </c>
      <c r="C7" s="159">
        <f>IF(apport_mensuel_calcul!BV5=0,"",apport_mensuel_calcul!BV5)</f>
        <v>372369.7659119484</v>
      </c>
      <c r="D7" s="159">
        <f>IF(apport_mensuel_calcul!BW5=0,"",apport_mensuel_calcul!BW5)</f>
        <v>62034.318549030351</v>
      </c>
      <c r="E7" s="171">
        <f>IF(apport_mensuel_calcul!BX5=0,"",apport_mensuel_calcul!BX5)</f>
        <v>434404.08446097875</v>
      </c>
      <c r="F7" s="159" t="str">
        <f>IF(apport_mensuel_calcul!BY5=0,"",apport_mensuel_calcul!BY5)</f>
        <v/>
      </c>
      <c r="G7" s="159">
        <f>IF(apport_mensuel_calcul!BZ5=0,"",apport_mensuel_calcul!BZ5)</f>
        <v>434404.08446097875</v>
      </c>
      <c r="H7" s="180">
        <f>IF(apport_mensuel_calcul!CA5=0,"",apport_mensuel_calcul!CA5)</f>
        <v>0.16659332799779228</v>
      </c>
      <c r="I7" s="180">
        <f>IF(apport_mensuel_calcul!CB5=0,"",apport_mensuel_calcul!CB5)</f>
        <v>9.5753735314451482E-3</v>
      </c>
      <c r="J7" s="174">
        <f>IF(apport_mensuel_calcul!CC5=0,"",apport_mensuel_calcul!CC5)</f>
        <v>41449.90547753292</v>
      </c>
    </row>
    <row r="8" spans="1:10" thickBot="1" x14ac:dyDescent="0.4">
      <c r="A8" s="157">
        <f>IF(apport_mensuel_calcul!A6=0,"",apport_mensuel_calcul!A6)</f>
        <v>5</v>
      </c>
      <c r="B8" s="158" t="str">
        <f>IF(apport_mensuel_calcul!B6=0,"",apport_mensuel_calcul!B6)</f>
        <v>ACTIONNIRE5</v>
      </c>
      <c r="C8" s="159">
        <f>IF(apport_mensuel_calcul!BV6=0,"",apport_mensuel_calcul!BV6)</f>
        <v>1393753.828487773</v>
      </c>
      <c r="D8" s="159">
        <f>IF(apport_mensuel_calcul!BW6=0,"",apport_mensuel_calcul!BW6)</f>
        <v>232190.08869744232</v>
      </c>
      <c r="E8" s="171">
        <f>IF(apport_mensuel_calcul!BX6=0,"",apport_mensuel_calcul!BX6)</f>
        <v>1625943.9171852153</v>
      </c>
      <c r="F8" s="159" t="str">
        <f>IF(apport_mensuel_calcul!BY6=0,"",apport_mensuel_calcul!BY6)</f>
        <v/>
      </c>
      <c r="G8" s="159">
        <f>IF(apport_mensuel_calcul!BZ6=0,"",apport_mensuel_calcul!BZ6)</f>
        <v>1625943.9171852153</v>
      </c>
      <c r="H8" s="180">
        <f>IF(apport_mensuel_calcul!CA6=0,"",apport_mensuel_calcul!CA6)</f>
        <v>0.16659332799779231</v>
      </c>
      <c r="I8" s="180">
        <f>IF(apport_mensuel_calcul!CB6=0,"",apport_mensuel_calcul!CB6)</f>
        <v>3.5839949266471667E-2</v>
      </c>
      <c r="J8" s="174">
        <f>IF(apport_mensuel_calcul!CC6=0,"",apport_mensuel_calcul!CC6)</f>
        <v>155144.07918775151</v>
      </c>
    </row>
    <row r="9" spans="1:10" thickBot="1" x14ac:dyDescent="0.4">
      <c r="A9" s="157">
        <f>IF(apport_mensuel_calcul!A7=0,"",apport_mensuel_calcul!A7)</f>
        <v>6</v>
      </c>
      <c r="B9" s="158" t="str">
        <f>IF(apport_mensuel_calcul!B7=0,"",apport_mensuel_calcul!B7)</f>
        <v>ACTIONNIRE6</v>
      </c>
      <c r="C9" s="159">
        <f>IF(apport_mensuel_calcul!BV7=0,"",apport_mensuel_calcul!BV7)</f>
        <v>829601.83269567683</v>
      </c>
      <c r="D9" s="159">
        <f>IF(apport_mensuel_calcul!BW7=0,"",apport_mensuel_calcul!BW7)</f>
        <v>138206.13022184049</v>
      </c>
      <c r="E9" s="171">
        <f>IF(apport_mensuel_calcul!BX7=0,"",apport_mensuel_calcul!BX7)</f>
        <v>967807.96291751729</v>
      </c>
      <c r="F9" s="159" t="str">
        <f>IF(apport_mensuel_calcul!BY7=0,"",apport_mensuel_calcul!BY7)</f>
        <v/>
      </c>
      <c r="G9" s="159">
        <f>IF(apport_mensuel_calcul!BZ7=0,"",apport_mensuel_calcul!BZ7)</f>
        <v>967807.96291751729</v>
      </c>
      <c r="H9" s="180">
        <f>IF(apport_mensuel_calcul!CA7=0,"",apport_mensuel_calcul!CA7)</f>
        <v>0.16659332799779228</v>
      </c>
      <c r="I9" s="180">
        <f>IF(apport_mensuel_calcul!CB7=0,"",apport_mensuel_calcul!CB7)</f>
        <v>2.133295492177786E-2</v>
      </c>
      <c r="J9" s="174">
        <f>IF(apport_mensuel_calcul!CC7=0,"",apport_mensuel_calcul!CC7)</f>
        <v>92346.158837597759</v>
      </c>
    </row>
    <row r="10" spans="1:10" thickBot="1" x14ac:dyDescent="0.4">
      <c r="A10" s="157">
        <f>IF(apport_mensuel_calcul!A8=0,"",apport_mensuel_calcul!A8)</f>
        <v>7</v>
      </c>
      <c r="B10" s="158" t="str">
        <f>IF(apport_mensuel_calcul!B8=0,"",apport_mensuel_calcul!B8)</f>
        <v>ACTIONNIRE7</v>
      </c>
      <c r="C10" s="159">
        <f>IF(apport_mensuel_calcul!BV8=0,"",apport_mensuel_calcul!BV8)</f>
        <v>840018.32008010126</v>
      </c>
      <c r="D10" s="159">
        <f>IF(apport_mensuel_calcul!BW8=0,"",apport_mensuel_calcul!BW8)</f>
        <v>139941.44752125879</v>
      </c>
      <c r="E10" s="171">
        <f>IF(apport_mensuel_calcul!BX8=0,"",apport_mensuel_calcul!BX8)</f>
        <v>979959.7676013601</v>
      </c>
      <c r="F10" s="159" t="str">
        <f>IF(apport_mensuel_calcul!BY8=0,"",apport_mensuel_calcul!BY8)</f>
        <v/>
      </c>
      <c r="G10" s="159">
        <f>IF(apport_mensuel_calcul!BZ8=0,"",apport_mensuel_calcul!BZ8)</f>
        <v>979959.7676013601</v>
      </c>
      <c r="H10" s="180">
        <f>IF(apport_mensuel_calcul!CA8=0,"",apport_mensuel_calcul!CA8)</f>
        <v>0.16659332799779231</v>
      </c>
      <c r="I10" s="180">
        <f>IF(apport_mensuel_calcul!CB8=0,"",apport_mensuel_calcul!CB8)</f>
        <v>2.1600811677943817E-2</v>
      </c>
      <c r="J10" s="174">
        <f>IF(apport_mensuel_calcul!CC8=0,"",apport_mensuel_calcul!CC8)</f>
        <v>93505.657961902078</v>
      </c>
    </row>
    <row r="11" spans="1:10" thickBot="1" x14ac:dyDescent="0.4">
      <c r="A11" s="157">
        <f>IF(apport_mensuel_calcul!A9=0,"",apport_mensuel_calcul!A9)</f>
        <v>8</v>
      </c>
      <c r="B11" s="158" t="str">
        <f>IF(apport_mensuel_calcul!B9=0,"",apport_mensuel_calcul!B9)</f>
        <v>ACTIONNIRE8</v>
      </c>
      <c r="C11" s="159">
        <f>IF(apport_mensuel_calcul!BV9=0,"",apport_mensuel_calcul!BV9)</f>
        <v>6000758.1962085813</v>
      </c>
      <c r="D11" s="159">
        <f>IF(apport_mensuel_calcul!BW9=0,"",apport_mensuel_calcul!BW9)</f>
        <v>970824.0568018225</v>
      </c>
      <c r="E11" s="171">
        <f>IF(apport_mensuel_calcul!BX9=0,"",apport_mensuel_calcul!BX9)</f>
        <v>6971582.2530104034</v>
      </c>
      <c r="F11" s="159" t="str">
        <f>IF(apport_mensuel_calcul!BY9=0,"",apport_mensuel_calcul!BY9)</f>
        <v/>
      </c>
      <c r="G11" s="159">
        <f>IF(apport_mensuel_calcul!BZ9=0,"",apport_mensuel_calcul!BZ9)</f>
        <v>6971582.2530104034</v>
      </c>
      <c r="H11" s="180">
        <f>IF(apport_mensuel_calcul!CA9=0,"",apport_mensuel_calcul!CA9)</f>
        <v>0.16178356551930584</v>
      </c>
      <c r="I11" s="180">
        <f>IF(apport_mensuel_calcul!CB9=0,"",apport_mensuel_calcul!CB9)</f>
        <v>0.15367144685253298</v>
      </c>
      <c r="J11" s="174">
        <f>IF(apport_mensuel_calcul!CC9=0,"",apport_mensuel_calcul!CC9)</f>
        <v>665213.41707615706</v>
      </c>
    </row>
    <row r="12" spans="1:10" thickBot="1" x14ac:dyDescent="0.4">
      <c r="A12" s="157">
        <f>IF(apport_mensuel_calcul!A10=0,"",apport_mensuel_calcul!A10)</f>
        <v>9</v>
      </c>
      <c r="B12" s="158" t="str">
        <f>IF(apport_mensuel_calcul!B10=0,"",apport_mensuel_calcul!B10)</f>
        <v>ACTIONNIRE9</v>
      </c>
      <c r="C12" s="159">
        <f>IF(apport_mensuel_calcul!BV10=0,"",apport_mensuel_calcul!BV10)</f>
        <v>539026.95372199686</v>
      </c>
      <c r="D12" s="159">
        <f>IF(apport_mensuel_calcul!BW10=0,"",apport_mensuel_calcul!BW10)</f>
        <v>89798.294101059422</v>
      </c>
      <c r="E12" s="171">
        <f>IF(apport_mensuel_calcul!BX10=0,"",apport_mensuel_calcul!BX10)</f>
        <v>628825.2478230563</v>
      </c>
      <c r="F12" s="159" t="str">
        <f>IF(apport_mensuel_calcul!BY10=0,"",apport_mensuel_calcul!BY10)</f>
        <v/>
      </c>
      <c r="G12" s="159">
        <f>IF(apport_mensuel_calcul!BZ10=0,"",apport_mensuel_calcul!BZ10)</f>
        <v>628825.2478230563</v>
      </c>
      <c r="H12" s="180">
        <f>IF(apport_mensuel_calcul!CA10=0,"",apport_mensuel_calcul!CA10)</f>
        <v>0.16659332799779228</v>
      </c>
      <c r="I12" s="180">
        <f>IF(apport_mensuel_calcul!CB10=0,"",apport_mensuel_calcul!CB10)</f>
        <v>1.3860911647229687E-2</v>
      </c>
      <c r="J12" s="174">
        <f>IF(apport_mensuel_calcul!CC10=0,"",apport_mensuel_calcul!CC10)</f>
        <v>60001.155644044637</v>
      </c>
    </row>
    <row r="13" spans="1:10" thickBot="1" x14ac:dyDescent="0.4">
      <c r="A13" s="157">
        <f>IF(apport_mensuel_calcul!A11=0,"",apport_mensuel_calcul!A11)</f>
        <v>10</v>
      </c>
      <c r="B13" s="158" t="str">
        <f>IF(apport_mensuel_calcul!B11=0,"",apport_mensuel_calcul!B11)</f>
        <v>ACTIONNIRE10</v>
      </c>
      <c r="C13" s="159">
        <f>IF(apport_mensuel_calcul!BV11=0,"",apport_mensuel_calcul!BV11)</f>
        <v>502772.0916201481</v>
      </c>
      <c r="D13" s="159">
        <f>IF(apport_mensuel_calcul!BW11=0,"",apport_mensuel_calcul!BW11)</f>
        <v>83098.246667922445</v>
      </c>
      <c r="E13" s="171">
        <f>IF(apport_mensuel_calcul!BX11=0,"",apport_mensuel_calcul!BX11)</f>
        <v>585870.33828807052</v>
      </c>
      <c r="F13" s="159" t="str">
        <f>IF(apport_mensuel_calcul!BY11=0,"",apport_mensuel_calcul!BY11)</f>
        <v/>
      </c>
      <c r="G13" s="159">
        <f>IF(apport_mensuel_calcul!BZ11=0,"",apport_mensuel_calcul!BZ11)</f>
        <v>585870.33828807052</v>
      </c>
      <c r="H13" s="180">
        <f>IF(apport_mensuel_calcul!CA11=0,"",apport_mensuel_calcul!CA11)</f>
        <v>0.1652801498988222</v>
      </c>
      <c r="I13" s="180">
        <f>IF(apport_mensuel_calcul!CB11=0,"",apport_mensuel_calcul!CB11)</f>
        <v>1.2914075927861882E-2</v>
      </c>
      <c r="J13" s="174">
        <f>IF(apport_mensuel_calcul!CC11=0,"",apport_mensuel_calcul!CC11)</f>
        <v>55902.490360474832</v>
      </c>
    </row>
    <row r="14" spans="1:10" thickBot="1" x14ac:dyDescent="0.4">
      <c r="A14" s="157">
        <f>IF(apport_mensuel_calcul!A12=0,"",apport_mensuel_calcul!A12)</f>
        <v>11</v>
      </c>
      <c r="B14" s="158" t="str">
        <f>IF(apport_mensuel_calcul!B12=0,"",apport_mensuel_calcul!B12)</f>
        <v>ACTIONNIRE11</v>
      </c>
      <c r="C14" s="159">
        <f>IF(apport_mensuel_calcul!BV12=0,"",apport_mensuel_calcul!BV12)</f>
        <v>1086673.4389811987</v>
      </c>
      <c r="D14" s="159">
        <f>IF(apport_mensuel_calcul!BW12=0,"",apport_mensuel_calcul!BW12)</f>
        <v>180504.36120709256</v>
      </c>
      <c r="E14" s="171">
        <f>IF(apport_mensuel_calcul!BX12=0,"",apport_mensuel_calcul!BX12)</f>
        <v>1267177.8001882914</v>
      </c>
      <c r="F14" s="159" t="str">
        <f>IF(apport_mensuel_calcul!BY12=0,"",apport_mensuel_calcul!BY12)</f>
        <v/>
      </c>
      <c r="G14" s="159">
        <f>IF(apport_mensuel_calcul!BZ12=0,"",apport_mensuel_calcul!BZ12)</f>
        <v>1267177.8001882914</v>
      </c>
      <c r="H14" s="180">
        <f>IF(apport_mensuel_calcul!CA12=0,"",apport_mensuel_calcul!CA12)</f>
        <v>0.16610727264699029</v>
      </c>
      <c r="I14" s="180">
        <f>IF(apport_mensuel_calcul!CB12=0,"",apport_mensuel_calcul!CB12)</f>
        <v>2.7931829376359806E-2</v>
      </c>
      <c r="J14" s="174">
        <f>IF(apport_mensuel_calcul!CC12=0,"",apport_mensuel_calcul!CC12)</f>
        <v>120911.38624123798</v>
      </c>
    </row>
    <row r="15" spans="1:10" thickBot="1" x14ac:dyDescent="0.4">
      <c r="A15" s="157">
        <f>IF(apport_mensuel_calcul!A13=0,"",apport_mensuel_calcul!A13)</f>
        <v>12</v>
      </c>
      <c r="B15" s="158" t="str">
        <f>IF(apport_mensuel_calcul!B13=0,"",apport_mensuel_calcul!B13)</f>
        <v>ACTIONNIRE12</v>
      </c>
      <c r="C15" s="159">
        <f>IF(apport_mensuel_calcul!BV13=0,"",apport_mensuel_calcul!BV13)</f>
        <v>472273.11184729106</v>
      </c>
      <c r="D15" s="159">
        <f>IF(apport_mensuel_calcul!BW13=0,"",apport_mensuel_calcul!BW13)</f>
        <v>78677.549426513811</v>
      </c>
      <c r="E15" s="171">
        <f>IF(apport_mensuel_calcul!BX13=0,"",apport_mensuel_calcul!BX13)</f>
        <v>550950.66127380484</v>
      </c>
      <c r="F15" s="159" t="str">
        <f>IF(apport_mensuel_calcul!BY13=0,"",apport_mensuel_calcul!BY13)</f>
        <v/>
      </c>
      <c r="G15" s="159">
        <f>IF(apport_mensuel_calcul!BZ13=0,"",apport_mensuel_calcul!BZ13)</f>
        <v>550950.66127380484</v>
      </c>
      <c r="H15" s="180">
        <f>IF(apport_mensuel_calcul!CA13=0,"",apport_mensuel_calcul!CA13)</f>
        <v>0.16659332799779231</v>
      </c>
      <c r="I15" s="180">
        <f>IF(apport_mensuel_calcul!CB13=0,"",apport_mensuel_calcul!CB13)</f>
        <v>1.2144357219015238E-2</v>
      </c>
      <c r="J15" s="174">
        <f>IF(apport_mensuel_calcul!CC13=0,"",apport_mensuel_calcul!CC13)</f>
        <v>52570.529719857725</v>
      </c>
    </row>
    <row r="16" spans="1:10" thickBot="1" x14ac:dyDescent="0.4">
      <c r="A16" s="157">
        <f>IF(apport_mensuel_calcul!A14=0,"",apport_mensuel_calcul!A14)</f>
        <v>13</v>
      </c>
      <c r="B16" s="158" t="str">
        <f>IF(apport_mensuel_calcul!B14=0,"",apport_mensuel_calcul!B14)</f>
        <v>ACTIONNIRE13</v>
      </c>
      <c r="C16" s="159">
        <f>IF(apport_mensuel_calcul!BV14=0,"",apport_mensuel_calcul!BV14)</f>
        <v>2508778.2072738009</v>
      </c>
      <c r="D16" s="159">
        <f>IF(apport_mensuel_calcul!BW14=0,"",apport_mensuel_calcul!BW14)</f>
        <v>409287.04427369946</v>
      </c>
      <c r="E16" s="171">
        <f>IF(apport_mensuel_calcul!BX14=0,"",apport_mensuel_calcul!BX14)</f>
        <v>2918065.2515475005</v>
      </c>
      <c r="F16" s="159" t="str">
        <f>IF(apport_mensuel_calcul!BY14=0,"",apport_mensuel_calcul!BY14)</f>
        <v/>
      </c>
      <c r="G16" s="159">
        <f>IF(apport_mensuel_calcul!BZ14=0,"",apport_mensuel_calcul!BZ14)</f>
        <v>2918065.2515475005</v>
      </c>
      <c r="H16" s="180">
        <f>IF(apport_mensuel_calcul!CA14=0,"",apport_mensuel_calcul!CA14)</f>
        <v>0.16314198006305905</v>
      </c>
      <c r="I16" s="180">
        <f>IF(apport_mensuel_calcul!CB14=0,"",apport_mensuel_calcul!CB14)</f>
        <v>6.4321597729377872E-2</v>
      </c>
      <c r="J16" s="174">
        <f>IF(apport_mensuel_calcul!CC14=0,"",apport_mensuel_calcul!CC14)</f>
        <v>278435.52392929245</v>
      </c>
    </row>
    <row r="17" spans="1:10" thickBot="1" x14ac:dyDescent="0.4">
      <c r="A17" s="157">
        <f>IF(apport_mensuel_calcul!A15=0,"",apport_mensuel_calcul!A15)</f>
        <v>14</v>
      </c>
      <c r="B17" s="158" t="str">
        <f>IF(apport_mensuel_calcul!B15=0,"",apport_mensuel_calcul!B15)</f>
        <v>ACTIONNIRE14</v>
      </c>
      <c r="C17" s="159">
        <f>IF(apport_mensuel_calcul!BV15=0,"",apport_mensuel_calcul!BV15)</f>
        <v>514154.3614610465</v>
      </c>
      <c r="D17" s="159">
        <f>IF(apport_mensuel_calcul!BW15=0,"",apport_mensuel_calcul!BW15)</f>
        <v>85654.686180375575</v>
      </c>
      <c r="E17" s="171">
        <f>IF(apport_mensuel_calcul!BX15=0,"",apport_mensuel_calcul!BX15)</f>
        <v>599809.04764142213</v>
      </c>
      <c r="F17" s="159" t="str">
        <f>IF(apport_mensuel_calcul!BY15=0,"",apport_mensuel_calcul!BY15)</f>
        <v/>
      </c>
      <c r="G17" s="159">
        <f>IF(apport_mensuel_calcul!BZ15=0,"",apport_mensuel_calcul!BZ15)</f>
        <v>599809.04764142213</v>
      </c>
      <c r="H17" s="180">
        <f>IF(apport_mensuel_calcul!CA15=0,"",apport_mensuel_calcul!CA15)</f>
        <v>0.16659332799779228</v>
      </c>
      <c r="I17" s="180">
        <f>IF(apport_mensuel_calcul!CB15=0,"",apport_mensuel_calcul!CB15)</f>
        <v>1.322132061864374E-2</v>
      </c>
      <c r="J17" s="174">
        <f>IF(apport_mensuel_calcul!CC15=0,"",apport_mensuel_calcul!CC15)</f>
        <v>57232.492093520523</v>
      </c>
    </row>
    <row r="18" spans="1:10" thickBot="1" x14ac:dyDescent="0.4">
      <c r="A18" s="157">
        <f>IF(apport_mensuel_calcul!A16=0,"",apport_mensuel_calcul!A16)</f>
        <v>15</v>
      </c>
      <c r="B18" s="158" t="str">
        <f>IF(apport_mensuel_calcul!B16=0,"",apport_mensuel_calcul!B16)</f>
        <v>ACTIONNIRE15</v>
      </c>
      <c r="C18" s="159">
        <f>IF(apport_mensuel_calcul!BV16=0,"",apport_mensuel_calcul!BV16)</f>
        <v>1117258.3836460027</v>
      </c>
      <c r="D18" s="159">
        <f>IF(apport_mensuel_calcul!BW16=0,"",apport_mensuel_calcul!BW16)</f>
        <v>186127.79236502177</v>
      </c>
      <c r="E18" s="171">
        <f>IF(apport_mensuel_calcul!BX16=0,"",apport_mensuel_calcul!BX16)</f>
        <v>1303386.1760110245</v>
      </c>
      <c r="F18" s="159" t="str">
        <f>IF(apport_mensuel_calcul!BY16=0,"",apport_mensuel_calcul!BY16)</f>
        <v/>
      </c>
      <c r="G18" s="159">
        <f>IF(apport_mensuel_calcul!BZ16=0,"",apport_mensuel_calcul!BZ16)</f>
        <v>1303386.1760110245</v>
      </c>
      <c r="H18" s="180">
        <f>IF(apport_mensuel_calcul!CA16=0,"",apport_mensuel_calcul!CA16)</f>
        <v>0.16659332799779228</v>
      </c>
      <c r="I18" s="180">
        <f>IF(apport_mensuel_calcul!CB16=0,"",apport_mensuel_calcul!CB16)</f>
        <v>2.8729954292472933E-2</v>
      </c>
      <c r="J18" s="174">
        <f>IF(apport_mensuel_calcul!CC16=0,"",apport_mensuel_calcul!CC16)</f>
        <v>124366.31175652075</v>
      </c>
    </row>
    <row r="19" spans="1:10" thickBot="1" x14ac:dyDescent="0.4">
      <c r="A19" s="157">
        <f>IF(apport_mensuel_calcul!A17=0,"",apport_mensuel_calcul!A17)</f>
        <v>16</v>
      </c>
      <c r="B19" s="158" t="str">
        <f>IF(apport_mensuel_calcul!B17=0,"",apport_mensuel_calcul!B17)</f>
        <v>ACTIONNIRE16</v>
      </c>
      <c r="C19" s="159">
        <f>IF(apport_mensuel_calcul!BV17=0,"",apport_mensuel_calcul!BV17)</f>
        <v>99669.598090254542</v>
      </c>
      <c r="D19" s="159">
        <f>IF(apport_mensuel_calcul!BW17=0,"",apport_mensuel_calcul!BW17)</f>
        <v>16604.290046057908</v>
      </c>
      <c r="E19" s="171">
        <f>IF(apport_mensuel_calcul!BX17=0,"",apport_mensuel_calcul!BX17)</f>
        <v>116273.88813631245</v>
      </c>
      <c r="F19" s="159" t="str">
        <f>IF(apport_mensuel_calcul!BY17=0,"",apport_mensuel_calcul!BY17)</f>
        <v/>
      </c>
      <c r="G19" s="159">
        <f>IF(apport_mensuel_calcul!BZ17=0,"",apport_mensuel_calcul!BZ17)</f>
        <v>116273.88813631245</v>
      </c>
      <c r="H19" s="180">
        <f>IF(apport_mensuel_calcul!CA17=0,"",apport_mensuel_calcul!CA17)</f>
        <v>0.16659332799779231</v>
      </c>
      <c r="I19" s="180">
        <f>IF(apport_mensuel_calcul!CB17=0,"",apport_mensuel_calcul!CB17)</f>
        <v>2.5629729339220119E-3</v>
      </c>
      <c r="J19" s="174">
        <f>IF(apport_mensuel_calcul!CC17=0,"",apport_mensuel_calcul!CC17)</f>
        <v>11094.604874020959</v>
      </c>
    </row>
    <row r="20" spans="1:10" thickBot="1" x14ac:dyDescent="0.4">
      <c r="A20" s="157">
        <f>IF(apport_mensuel_calcul!A18=0,"",apport_mensuel_calcul!A18)</f>
        <v>17</v>
      </c>
      <c r="B20" s="158" t="str">
        <f>IF(apport_mensuel_calcul!B18=0,"",apport_mensuel_calcul!B18)</f>
        <v>ACTIONNIRE17</v>
      </c>
      <c r="C20" s="159">
        <f>IF(apport_mensuel_calcul!BV18=0,"",apport_mensuel_calcul!BV18)</f>
        <v>1118757.7047353941</v>
      </c>
      <c r="D20" s="159">
        <f>IF(apport_mensuel_calcul!BW18=0,"",apport_mensuel_calcul!BW18)</f>
        <v>186377.56925504078</v>
      </c>
      <c r="E20" s="171">
        <f>IF(apport_mensuel_calcul!BX18=0,"",apport_mensuel_calcul!BX18)</f>
        <v>1305135.2739904348</v>
      </c>
      <c r="F20" s="159" t="str">
        <f>IF(apport_mensuel_calcul!BY18=0,"",apport_mensuel_calcul!BY18)</f>
        <v/>
      </c>
      <c r="G20" s="159">
        <f>IF(apport_mensuel_calcul!BZ18=0,"",apport_mensuel_calcul!BZ18)</f>
        <v>1305135.2739904348</v>
      </c>
      <c r="H20" s="180">
        <f>IF(apport_mensuel_calcul!CA18=0,"",apport_mensuel_calcul!CA18)</f>
        <v>0.16659332799779231</v>
      </c>
      <c r="I20" s="180">
        <f>IF(apport_mensuel_calcul!CB18=0,"",apport_mensuel_calcul!CB18)</f>
        <v>2.8768508871251194E-2</v>
      </c>
      <c r="J20" s="174">
        <f>IF(apport_mensuel_calcul!CC18=0,"",apport_mensuel_calcul!CC18)</f>
        <v>124533.20693202873</v>
      </c>
    </row>
    <row r="21" spans="1:10" thickBot="1" x14ac:dyDescent="0.4">
      <c r="A21" s="157">
        <f>IF(apport_mensuel_calcul!A19=0,"",apport_mensuel_calcul!A19)</f>
        <v>18</v>
      </c>
      <c r="B21" s="158" t="str">
        <f>IF(apport_mensuel_calcul!B19=0,"",apport_mensuel_calcul!B19)</f>
        <v>ACTIONNIRE18</v>
      </c>
      <c r="C21" s="159">
        <f>IF(apport_mensuel_calcul!BV19=0,"",apport_mensuel_calcul!BV19)</f>
        <v>699377.17569474981</v>
      </c>
      <c r="D21" s="159">
        <f>IF(apport_mensuel_calcul!BW19=0,"",apport_mensuel_calcul!BW19)</f>
        <v>82057.533832142071</v>
      </c>
      <c r="E21" s="171">
        <f>IF(apport_mensuel_calcul!BX19=0,"",apport_mensuel_calcul!BX19)</f>
        <v>781434.70952689182</v>
      </c>
      <c r="F21" s="159" t="str">
        <f>IF(apport_mensuel_calcul!BY19=0,"",apport_mensuel_calcul!BY19)</f>
        <v/>
      </c>
      <c r="G21" s="159">
        <f>IF(apport_mensuel_calcul!BZ19=0,"",apport_mensuel_calcul!BZ19)</f>
        <v>781434.70952689182</v>
      </c>
      <c r="H21" s="180">
        <f>IF(apport_mensuel_calcul!CA19=0,"",apport_mensuel_calcul!CA19)</f>
        <v>0.11732944208627835</v>
      </c>
      <c r="I21" s="180">
        <f>IF(apport_mensuel_calcul!CB19=0,"",apport_mensuel_calcul!CB19)</f>
        <v>1.7224813259849682E-2</v>
      </c>
      <c r="J21" s="174">
        <f>IF(apport_mensuel_calcul!CC19=0,"",apport_mensuel_calcul!CC19)</f>
        <v>74562.822969180896</v>
      </c>
    </row>
    <row r="22" spans="1:10" thickBot="1" x14ac:dyDescent="0.4">
      <c r="A22" s="157">
        <f>IF(apport_mensuel_calcul!A20=0,"",apport_mensuel_calcul!A20)</f>
        <v>19</v>
      </c>
      <c r="B22" s="158" t="str">
        <f>IF(apport_mensuel_calcul!B20=0,"",apport_mensuel_calcul!B20)</f>
        <v>ACTIONNIRE19</v>
      </c>
      <c r="C22" s="159">
        <f>IF(apport_mensuel_calcul!BV20=0,"",apport_mensuel_calcul!BV20)</f>
        <v>659938.42858418706</v>
      </c>
      <c r="D22" s="159">
        <f>IF(apport_mensuel_calcul!BW20=0,"",apport_mensuel_calcul!BW20)</f>
        <v>96736.753101693612</v>
      </c>
      <c r="E22" s="171">
        <f>IF(apport_mensuel_calcul!BX20=0,"",apport_mensuel_calcul!BX20)</f>
        <v>756675.18168588064</v>
      </c>
      <c r="F22" s="159" t="str">
        <f>IF(apport_mensuel_calcul!BY20=0,"",apport_mensuel_calcul!BY20)</f>
        <v/>
      </c>
      <c r="G22" s="159">
        <f>IF(apport_mensuel_calcul!BZ20=0,"",apport_mensuel_calcul!BZ20)</f>
        <v>756675.18168588064</v>
      </c>
      <c r="H22" s="180">
        <f>IF(apport_mensuel_calcul!CA20=0,"",apport_mensuel_calcul!CA20)</f>
        <v>0.1465845129055901</v>
      </c>
      <c r="I22" s="180">
        <f>IF(apport_mensuel_calcul!CB20=0,"",apport_mensuel_calcul!CB20)</f>
        <v>1.6679050142004978E-2</v>
      </c>
      <c r="J22" s="174">
        <f>IF(apport_mensuel_calcul!CC20=0,"",apport_mensuel_calcul!CC20)</f>
        <v>72200.321958280649</v>
      </c>
    </row>
    <row r="23" spans="1:10" ht="31.5" thickBot="1" x14ac:dyDescent="0.4">
      <c r="A23" s="157">
        <f>IF(apport_mensuel_calcul!A21=0,"",apport_mensuel_calcul!A21)</f>
        <v>20</v>
      </c>
      <c r="B23" s="158" t="str">
        <f>IF(apport_mensuel_calcul!B21=0,"",apport_mensuel_calcul!B21)</f>
        <v>ACTIONNIRE20</v>
      </c>
      <c r="C23" s="159">
        <f>IF(apport_mensuel_calcul!BV21=0,"",apport_mensuel_calcul!BV21)</f>
        <v>218369.91325211144</v>
      </c>
      <c r="D23" s="159">
        <f>IF(apport_mensuel_calcul!BW21=0,"",apport_mensuel_calcul!BW21)</f>
        <v>36378.970583258451</v>
      </c>
      <c r="E23" s="171">
        <f>IF(apport_mensuel_calcul!BX21=0,"",apport_mensuel_calcul!BX21)</f>
        <v>254748.8838353699</v>
      </c>
      <c r="F23" s="159" t="str">
        <f>IF(apport_mensuel_calcul!BY21=0,"",apport_mensuel_calcul!BY21)</f>
        <v/>
      </c>
      <c r="G23" s="159">
        <f>IF(apport_mensuel_calcul!BZ21=0,"",apport_mensuel_calcul!BZ21)</f>
        <v>254748.8838353699</v>
      </c>
      <c r="H23" s="180">
        <f>IF(apport_mensuel_calcul!CA21=0,"",apport_mensuel_calcul!CA21)</f>
        <v>0.16659332799779231</v>
      </c>
      <c r="I23" s="180">
        <f>IF(apport_mensuel_calcul!CB21=0,"",apport_mensuel_calcul!CB21)</f>
        <v>5.6153148800826072E-3</v>
      </c>
      <c r="J23" s="174">
        <f>IF(apport_mensuel_calcul!CC21=0,"",apport_mensuel_calcul!CC21)</f>
        <v>24307.591786539957</v>
      </c>
    </row>
    <row r="24" spans="1:10" thickBot="1" x14ac:dyDescent="0.4">
      <c r="A24" s="157">
        <f>IF(apport_mensuel_calcul!A22=0,"",apport_mensuel_calcul!A22)</f>
        <v>21</v>
      </c>
      <c r="B24" s="158" t="str">
        <f>IF(apport_mensuel_calcul!B22=0,"",apport_mensuel_calcul!B22)</f>
        <v>ACTIONNIRE21</v>
      </c>
      <c r="C24" s="159">
        <f>IF(apport_mensuel_calcul!BV22=0,"",apport_mensuel_calcul!BV22)</f>
        <v>304027.6920330862</v>
      </c>
      <c r="D24" s="159">
        <f>IF(apport_mensuel_calcul!BW22=0,"",apport_mensuel_calcul!BW22)</f>
        <v>50648.985019279709</v>
      </c>
      <c r="E24" s="171">
        <f>IF(apport_mensuel_calcul!BX22=0,"",apport_mensuel_calcul!BX22)</f>
        <v>354676.67705236591</v>
      </c>
      <c r="F24" s="159" t="str">
        <f>IF(apport_mensuel_calcul!BY22=0,"",apport_mensuel_calcul!BY22)</f>
        <v/>
      </c>
      <c r="G24" s="159">
        <f>IF(apport_mensuel_calcul!BZ22=0,"",apport_mensuel_calcul!BZ22)</f>
        <v>354676.67705236591</v>
      </c>
      <c r="H24" s="180">
        <f>IF(apport_mensuel_calcul!CA22=0,"",apport_mensuel_calcul!CA22)</f>
        <v>0.16659332799779228</v>
      </c>
      <c r="I24" s="180">
        <f>IF(apport_mensuel_calcul!CB22=0,"",apport_mensuel_calcul!CB22)</f>
        <v>7.8179782077376168E-3</v>
      </c>
      <c r="J24" s="174">
        <f>IF(apport_mensuel_calcul!CC22=0,"",apport_mensuel_calcul!CC22)</f>
        <v>33842.487363229688</v>
      </c>
    </row>
    <row r="25" spans="1:10" ht="31.5" thickBot="1" x14ac:dyDescent="0.4">
      <c r="A25" s="157">
        <f>IF(apport_mensuel_calcul!A23=0,"",apport_mensuel_calcul!A23)</f>
        <v>22</v>
      </c>
      <c r="B25" s="158" t="str">
        <f>IF(apport_mensuel_calcul!B23=0,"",apport_mensuel_calcul!B23)</f>
        <v>ACTIONNIRE22</v>
      </c>
      <c r="C25" s="159">
        <f>IF(apport_mensuel_calcul!BV23=0,"",apport_mensuel_calcul!BV23)</f>
        <v>907686.42638101254</v>
      </c>
      <c r="D25" s="159">
        <f>IF(apport_mensuel_calcul!BW23=0,"",apport_mensuel_calcul!BW23)</f>
        <v>151214.502549236</v>
      </c>
      <c r="E25" s="171">
        <f>IF(apport_mensuel_calcul!BX23=0,"",apport_mensuel_calcul!BX23)</f>
        <v>1058900.9289302486</v>
      </c>
      <c r="F25" s="159" t="str">
        <f>IF(apport_mensuel_calcul!BY23=0,"",apport_mensuel_calcul!BY23)</f>
        <v/>
      </c>
      <c r="G25" s="159">
        <f>IF(apport_mensuel_calcul!BZ23=0,"",apport_mensuel_calcul!BZ23)</f>
        <v>1058900.9289302486</v>
      </c>
      <c r="H25" s="180">
        <f>IF(apport_mensuel_calcul!CA23=0,"",apport_mensuel_calcul!CA23)</f>
        <v>0.16659332799779233</v>
      </c>
      <c r="I25" s="180">
        <f>IF(apport_mensuel_calcul!CB23=0,"",apport_mensuel_calcul!CB23)</f>
        <v>2.3340876133525795E-2</v>
      </c>
      <c r="J25" s="174">
        <f>IF(apport_mensuel_calcul!CC23=0,"",apport_mensuel_calcul!CC23)</f>
        <v>101038.05416261744</v>
      </c>
    </row>
    <row r="26" spans="1:10" thickBot="1" x14ac:dyDescent="0.4">
      <c r="A26" s="157">
        <f>IF(apport_mensuel_calcul!A24=0,"",apport_mensuel_calcul!A24)</f>
        <v>23</v>
      </c>
      <c r="B26" s="158" t="str">
        <f>IF(apport_mensuel_calcul!B24=0,"",apport_mensuel_calcul!B24)</f>
        <v>ACTIONNIRE23</v>
      </c>
      <c r="C26" s="159">
        <f>IF(apport_mensuel_calcul!BV24=0,"",apport_mensuel_calcul!BV24)</f>
        <v>54646.514162173895</v>
      </c>
      <c r="D26" s="159">
        <f>IF(apport_mensuel_calcul!BW24=0,"",apport_mensuel_calcul!BW24)</f>
        <v>9103.7446577550363</v>
      </c>
      <c r="E26" s="171">
        <f>IF(apport_mensuel_calcul!BX24=0,"",apport_mensuel_calcul!BX24)</f>
        <v>63750.258819928931</v>
      </c>
      <c r="F26" s="159" t="str">
        <f>IF(apport_mensuel_calcul!BY24=0,"",apport_mensuel_calcul!BY24)</f>
        <v/>
      </c>
      <c r="G26" s="159">
        <f>IF(apport_mensuel_calcul!BZ24=0,"",apport_mensuel_calcul!BZ24)</f>
        <v>63750.258819928931</v>
      </c>
      <c r="H26" s="180">
        <f>IF(apport_mensuel_calcul!CA24=0,"",apport_mensuel_calcul!CA24)</f>
        <v>0.16659332799779228</v>
      </c>
      <c r="I26" s="180">
        <f>IF(apport_mensuel_calcul!CB24=0,"",apport_mensuel_calcul!CB24)</f>
        <v>1.4052182351935469E-3</v>
      </c>
      <c r="J26" s="174">
        <f>IF(apport_mensuel_calcul!CC24=0,"",apport_mensuel_calcul!CC24)</f>
        <v>6082.9128840561725</v>
      </c>
    </row>
    <row r="27" spans="1:10" ht="31.5" thickBot="1" x14ac:dyDescent="0.4">
      <c r="A27" s="157">
        <f>IF(apport_mensuel_calcul!A25=0,"",apport_mensuel_calcul!A25)</f>
        <v>24</v>
      </c>
      <c r="B27" s="158" t="str">
        <f>IF(apport_mensuel_calcul!B25=0,"",apport_mensuel_calcul!B25)</f>
        <v>ACTIONNIRE24</v>
      </c>
      <c r="C27" s="159">
        <f>IF(apport_mensuel_calcul!BV25=0,"",apport_mensuel_calcul!BV25)</f>
        <v>162676.96947696092</v>
      </c>
      <c r="D27" s="159">
        <f>IF(apport_mensuel_calcul!BW25=0,"",apport_mensuel_calcul!BW25)</f>
        <v>27100.897733762195</v>
      </c>
      <c r="E27" s="171">
        <f>IF(apport_mensuel_calcul!BX25=0,"",apport_mensuel_calcul!BX25)</f>
        <v>189777.86721072311</v>
      </c>
      <c r="F27" s="159" t="str">
        <f>IF(apport_mensuel_calcul!BY25=0,"",apport_mensuel_calcul!BY25)</f>
        <v/>
      </c>
      <c r="G27" s="159">
        <f>IF(apport_mensuel_calcul!BZ25=0,"",apport_mensuel_calcul!BZ25)</f>
        <v>189777.86721072311</v>
      </c>
      <c r="H27" s="180">
        <f>IF(apport_mensuel_calcul!CA25=0,"",apport_mensuel_calcul!CA25)</f>
        <v>0.16659332799779228</v>
      </c>
      <c r="I27" s="180">
        <f>IF(apport_mensuel_calcul!CB25=0,"",apport_mensuel_calcul!CB25)</f>
        <v>4.1831880305602956E-3</v>
      </c>
      <c r="J27" s="174">
        <f>IF(apport_mensuel_calcul!CC25=0,"",apport_mensuel_calcul!CC25)</f>
        <v>18108.196812589755</v>
      </c>
    </row>
    <row r="28" spans="1:10" thickBot="1" x14ac:dyDescent="0.4">
      <c r="A28" s="157">
        <f>IF(apport_mensuel_calcul!A26=0,"",apport_mensuel_calcul!A26)</f>
        <v>25</v>
      </c>
      <c r="B28" s="158" t="str">
        <f>IF(apport_mensuel_calcul!B26=0,"",apport_mensuel_calcul!B26)</f>
        <v>ACTIONNIRE25</v>
      </c>
      <c r="C28" s="159">
        <f>IF(apport_mensuel_calcul!BV26=0,"",apport_mensuel_calcul!BV26)</f>
        <v>696021.67479701887</v>
      </c>
      <c r="D28" s="159">
        <f>IF(apport_mensuel_calcul!BW26=0,"",apport_mensuel_calcul!BW26)</f>
        <v>115952.56716303248</v>
      </c>
      <c r="E28" s="171">
        <f>IF(apport_mensuel_calcul!BX26=0,"",apport_mensuel_calcul!BX26)</f>
        <v>811974.24196005135</v>
      </c>
      <c r="F28" s="159" t="str">
        <f>IF(apport_mensuel_calcul!BY26=0,"",apport_mensuel_calcul!BY26)</f>
        <v/>
      </c>
      <c r="G28" s="159">
        <f>IF(apport_mensuel_calcul!BZ26=0,"",apport_mensuel_calcul!BZ26)</f>
        <v>811974.24196005135</v>
      </c>
      <c r="H28" s="180">
        <f>IF(apport_mensuel_calcul!CA26=0,"",apport_mensuel_calcul!CA26)</f>
        <v>0.16659332799779228</v>
      </c>
      <c r="I28" s="180">
        <f>IF(apport_mensuel_calcul!CB26=0,"",apport_mensuel_calcul!CB26)</f>
        <v>1.7897982414983291E-2</v>
      </c>
      <c r="J28" s="174">
        <f>IF(apport_mensuel_calcul!CC26=0,"",apport_mensuel_calcul!CC26)</f>
        <v>77476.839613967342</v>
      </c>
    </row>
    <row r="29" spans="1:10" thickBot="1" x14ac:dyDescent="0.4">
      <c r="A29" s="157">
        <f>IF(apport_mensuel_calcul!A27=0,"",apport_mensuel_calcul!A27)</f>
        <v>26</v>
      </c>
      <c r="B29" s="158" t="str">
        <f>IF(apport_mensuel_calcul!B27=0,"",apport_mensuel_calcul!B27)</f>
        <v>ACTIONNIRE26</v>
      </c>
      <c r="C29" s="159">
        <f>IF(apport_mensuel_calcul!BV27=0,"",apport_mensuel_calcul!BV27)</f>
        <v>290762.86257526511</v>
      </c>
      <c r="D29" s="159">
        <f>IF(apport_mensuel_calcul!BW27=0,"",apport_mensuel_calcul!BW27)</f>
        <v>48439.15293457816</v>
      </c>
      <c r="E29" s="171">
        <f>IF(apport_mensuel_calcul!BX27=0,"",apport_mensuel_calcul!BX27)</f>
        <v>339202.01550984324</v>
      </c>
      <c r="F29" s="159" t="str">
        <f>IF(apport_mensuel_calcul!BY27=0,"",apport_mensuel_calcul!BY27)</f>
        <v/>
      </c>
      <c r="G29" s="159">
        <f>IF(apport_mensuel_calcul!BZ27=0,"",apport_mensuel_calcul!BZ27)</f>
        <v>339202.01550984324</v>
      </c>
      <c r="H29" s="180">
        <f>IF(apport_mensuel_calcul!CA27=0,"",apport_mensuel_calcul!CA27)</f>
        <v>0.16659332799779233</v>
      </c>
      <c r="I29" s="180">
        <f>IF(apport_mensuel_calcul!CB27=0,"",apport_mensuel_calcul!CB27)</f>
        <v>7.4768772148079482E-3</v>
      </c>
      <c r="J29" s="174">
        <f>IF(apport_mensuel_calcul!CC27=0,"",apport_mensuel_calcul!CC27)</f>
        <v>32365.928368554778</v>
      </c>
    </row>
    <row r="30" spans="1:10" thickBot="1" x14ac:dyDescent="0.4">
      <c r="A30" s="157">
        <f>IF(apport_mensuel_calcul!A28=0,"",apport_mensuel_calcul!A28)</f>
        <v>27</v>
      </c>
      <c r="B30" s="158" t="str">
        <f>IF(apport_mensuel_calcul!B28=0,"",apport_mensuel_calcul!B28)</f>
        <v>ACTIONNIRE27</v>
      </c>
      <c r="C30" s="159">
        <f>IF(apport_mensuel_calcul!BV28=0,"",apport_mensuel_calcul!BV28)</f>
        <v>54035.526051986621</v>
      </c>
      <c r="D30" s="159">
        <f>IF(apport_mensuel_calcul!BW28=0,"",apport_mensuel_calcul!BW28)</f>
        <v>6766.5557957102401</v>
      </c>
      <c r="E30" s="171">
        <f>IF(apport_mensuel_calcul!BX28=0,"",apport_mensuel_calcul!BX28)</f>
        <v>60802.081847696863</v>
      </c>
      <c r="F30" s="159" t="str">
        <f>IF(apport_mensuel_calcul!BY28=0,"",apport_mensuel_calcul!BY28)</f>
        <v/>
      </c>
      <c r="G30" s="159">
        <f>IF(apport_mensuel_calcul!BZ28=0,"",apport_mensuel_calcul!BZ28)</f>
        <v>60802.081847696863</v>
      </c>
      <c r="H30" s="180">
        <f>IF(apport_mensuel_calcul!CA28=0,"",apport_mensuel_calcul!CA28)</f>
        <v>0.12522420507575435</v>
      </c>
      <c r="I30" s="180">
        <f>IF(apport_mensuel_calcul!CB28=0,"",apport_mensuel_calcul!CB28)</f>
        <v>1.3402328983706773E-3</v>
      </c>
      <c r="J30" s="174">
        <f>IF(apport_mensuel_calcul!CC28=0,"",apport_mensuel_calcul!CC28)</f>
        <v>5801.6041643610306</v>
      </c>
    </row>
    <row r="31" spans="1:10" thickBot="1" x14ac:dyDescent="0.4">
      <c r="A31" s="157">
        <f>IF(apport_mensuel_calcul!A29=0,"",apport_mensuel_calcul!A29)</f>
        <v>28</v>
      </c>
      <c r="B31" s="158" t="str">
        <f>IF(apport_mensuel_calcul!B29=0,"",apport_mensuel_calcul!B29)</f>
        <v>ACTIONNIRE28</v>
      </c>
      <c r="C31" s="159">
        <f>IF(apport_mensuel_calcul!BV29=0,"",apport_mensuel_calcul!BV29)</f>
        <v>167241.08854495053</v>
      </c>
      <c r="D31" s="159">
        <f>IF(apport_mensuel_calcul!BW29=0,"",apport_mensuel_calcul!BW29)</f>
        <v>27861.249518676766</v>
      </c>
      <c r="E31" s="171">
        <f>IF(apport_mensuel_calcul!BX29=0,"",apport_mensuel_calcul!BX29)</f>
        <v>195102.33806362731</v>
      </c>
      <c r="F31" s="159" t="str">
        <f>IF(apport_mensuel_calcul!BY29=0,"",apport_mensuel_calcul!BY29)</f>
        <v/>
      </c>
      <c r="G31" s="159">
        <f>IF(apport_mensuel_calcul!BZ29=0,"",apport_mensuel_calcul!BZ29)</f>
        <v>195102.33806362731</v>
      </c>
      <c r="H31" s="180">
        <f>IF(apport_mensuel_calcul!CA29=0,"",apport_mensuel_calcul!CA29)</f>
        <v>0.16659332799779228</v>
      </c>
      <c r="I31" s="180">
        <f>IF(apport_mensuel_calcul!CB29=0,"",apport_mensuel_calcul!CB29)</f>
        <v>4.3005529428564405E-3</v>
      </c>
      <c r="J31" s="174">
        <f>IF(apport_mensuel_calcul!CC29=0,"",apport_mensuel_calcul!CC29)</f>
        <v>18616.246394684746</v>
      </c>
    </row>
    <row r="32" spans="1:10" thickBot="1" x14ac:dyDescent="0.4">
      <c r="A32" s="157">
        <f>IF(apport_mensuel_calcul!A30=0,"",apport_mensuel_calcul!A30)</f>
        <v>29</v>
      </c>
      <c r="B32" s="158" t="str">
        <f>IF(apport_mensuel_calcul!B30=0,"",apport_mensuel_calcul!B30)</f>
        <v>ACTIONNIRE29</v>
      </c>
      <c r="C32" s="159">
        <f>IF(apport_mensuel_calcul!BV30=0,"",apport_mensuel_calcul!BV30)</f>
        <v>2025156.5194317778</v>
      </c>
      <c r="D32" s="159">
        <f>IF(apport_mensuel_calcul!BW30=0,"",apport_mensuel_calcul!BW30)</f>
        <v>298034.4834670971</v>
      </c>
      <c r="E32" s="171">
        <f>IF(apport_mensuel_calcul!BX30=0,"",apport_mensuel_calcul!BX30)</f>
        <v>2323191.0028988747</v>
      </c>
      <c r="F32" s="159" t="str">
        <f>IF(apport_mensuel_calcul!BY30=0,"",apport_mensuel_calcul!BY30)</f>
        <v/>
      </c>
      <c r="G32" s="159">
        <f>IF(apport_mensuel_calcul!BZ30=0,"",apport_mensuel_calcul!BZ30)</f>
        <v>2323191.0028988747</v>
      </c>
      <c r="H32" s="180">
        <f>IF(apport_mensuel_calcul!CA30=0,"",apport_mensuel_calcul!CA30)</f>
        <v>0.1471661477063117</v>
      </c>
      <c r="I32" s="180">
        <f>IF(apport_mensuel_calcul!CB30=0,"",apport_mensuel_calcul!CB30)</f>
        <v>5.1209052661768041E-2</v>
      </c>
      <c r="J32" s="174">
        <f>IF(apport_mensuel_calcul!CC30=0,"",apport_mensuel_calcul!CC30)</f>
        <v>221673.89976523863</v>
      </c>
    </row>
    <row r="33" spans="1:10" thickBot="1" x14ac:dyDescent="0.4">
      <c r="A33" s="157">
        <f>IF(apport_mensuel_calcul!A31=0,"",apport_mensuel_calcul!A31)</f>
        <v>30</v>
      </c>
      <c r="B33" s="158" t="str">
        <f>IF(apport_mensuel_calcul!B31=0,"",apport_mensuel_calcul!B31)</f>
        <v>ACTIONNIRE30</v>
      </c>
      <c r="C33" s="159">
        <f>IF(apport_mensuel_calcul!BV31=0,"",apport_mensuel_calcul!BV31)</f>
        <v>1028984.0862869273</v>
      </c>
      <c r="D33" s="159">
        <f>IF(apport_mensuel_calcul!BW31=0,"",apport_mensuel_calcul!BW31)</f>
        <v>171421.88339130671</v>
      </c>
      <c r="E33" s="171">
        <f>IF(apport_mensuel_calcul!BX31=0,"",apport_mensuel_calcul!BX31)</f>
        <v>1200405.9696782341</v>
      </c>
      <c r="F33" s="159" t="str">
        <f>IF(apport_mensuel_calcul!BY31=0,"",apport_mensuel_calcul!BY31)</f>
        <v/>
      </c>
      <c r="G33" s="159">
        <f>IF(apport_mensuel_calcul!BZ31=0,"",apport_mensuel_calcul!BZ31)</f>
        <v>1200405.9696782341</v>
      </c>
      <c r="H33" s="180">
        <f>IF(apport_mensuel_calcul!CA31=0,"",apport_mensuel_calcul!CA31)</f>
        <v>0.16659332799779231</v>
      </c>
      <c r="I33" s="180">
        <f>IF(apport_mensuel_calcul!CB31=0,"",apport_mensuel_calcul!CB31)</f>
        <v>2.6460007997641678E-2</v>
      </c>
      <c r="J33" s="174">
        <f>IF(apport_mensuel_calcul!CC31=0,"",apport_mensuel_calcul!CC31)</f>
        <v>114540.16147101524</v>
      </c>
    </row>
    <row r="34" spans="1:10" thickBot="1" x14ac:dyDescent="0.4">
      <c r="A34" s="157">
        <f>IF(apport_mensuel_calcul!A32=0,"",apport_mensuel_calcul!A32)</f>
        <v>31</v>
      </c>
      <c r="B34" s="158" t="str">
        <f>IF(apport_mensuel_calcul!B32=0,"",apport_mensuel_calcul!B32)</f>
        <v>ACTIONNIRE31</v>
      </c>
      <c r="C34" s="159">
        <f>IF(apport_mensuel_calcul!BV32=0,"",apport_mensuel_calcul!BV32)</f>
        <v>1236027.4094442949</v>
      </c>
      <c r="D34" s="159">
        <f>IF(apport_mensuel_calcul!BW32=0,"",apport_mensuel_calcul!BW32)</f>
        <v>205913.91963581491</v>
      </c>
      <c r="E34" s="171">
        <f>IF(apport_mensuel_calcul!BX32=0,"",apport_mensuel_calcul!BX32)</f>
        <v>1441941.3290801097</v>
      </c>
      <c r="F34" s="159" t="str">
        <f>IF(apport_mensuel_calcul!BY32=0,"",apport_mensuel_calcul!BY32)</f>
        <v/>
      </c>
      <c r="G34" s="159">
        <f>IF(apport_mensuel_calcul!BZ32=0,"",apport_mensuel_calcul!BZ32)</f>
        <v>1441941.3290801097</v>
      </c>
      <c r="H34" s="180">
        <f>IF(apport_mensuel_calcul!CA32=0,"",apport_mensuel_calcul!CA32)</f>
        <v>0.16659332799779228</v>
      </c>
      <c r="I34" s="180">
        <f>IF(apport_mensuel_calcul!CB32=0,"",apport_mensuel_calcul!CB32)</f>
        <v>3.1784063111429547E-2</v>
      </c>
      <c r="J34" s="174">
        <f>IF(apport_mensuel_calcul!CC32=0,"",apport_mensuel_calcul!CC32)</f>
        <v>137586.94711326444</v>
      </c>
    </row>
    <row r="35" spans="1:10" thickBot="1" x14ac:dyDescent="0.4">
      <c r="A35" s="157">
        <f>IF(apport_mensuel_calcul!A33=0,"",apport_mensuel_calcul!A33)</f>
        <v>32</v>
      </c>
      <c r="B35" s="158" t="str">
        <f>IF(apport_mensuel_calcul!B33=0,"",apport_mensuel_calcul!B33)</f>
        <v>ACTIONNIRE32</v>
      </c>
      <c r="C35" s="159">
        <f>IF(apport_mensuel_calcul!BV33=0,"",apport_mensuel_calcul!BV33)</f>
        <v>260099.70422273286</v>
      </c>
      <c r="D35" s="159">
        <f>IF(apport_mensuel_calcul!BW33=0,"",apport_mensuel_calcul!BW33)</f>
        <v>43330.8753377065</v>
      </c>
      <c r="E35" s="171">
        <f>IF(apport_mensuel_calcul!BX33=0,"",apport_mensuel_calcul!BX33)</f>
        <v>303430.57956043934</v>
      </c>
      <c r="F35" s="159" t="str">
        <f>IF(apport_mensuel_calcul!BY33=0,"",apport_mensuel_calcul!BY33)</f>
        <v/>
      </c>
      <c r="G35" s="159">
        <f>IF(apport_mensuel_calcul!BZ33=0,"",apport_mensuel_calcul!BZ33)</f>
        <v>303430.57956043934</v>
      </c>
      <c r="H35" s="180">
        <f>IF(apport_mensuel_calcul!CA33=0,"",apport_mensuel_calcul!CA33)</f>
        <v>0.16659332799779231</v>
      </c>
      <c r="I35" s="180">
        <f>IF(apport_mensuel_calcul!CB33=0,"",apport_mensuel_calcul!CB33)</f>
        <v>6.6883835674778997E-3</v>
      </c>
      <c r="J35" s="174">
        <f>IF(apport_mensuel_calcul!CC33=0,"",apport_mensuel_calcul!CC33)</f>
        <v>28952.694718281393</v>
      </c>
    </row>
    <row r="36" spans="1:10" thickBot="1" x14ac:dyDescent="0.4">
      <c r="A36" s="157">
        <f>IF(apport_mensuel_calcul!A34=0,"",apport_mensuel_calcul!A34)</f>
        <v>33</v>
      </c>
      <c r="B36" s="158" t="str">
        <f>IF(apport_mensuel_calcul!B34=0,"",apport_mensuel_calcul!B34)</f>
        <v>ACTIONNIRE33</v>
      </c>
      <c r="C36" s="159">
        <f>IF(apport_mensuel_calcul!BV34=0,"",apport_mensuel_calcul!BV34)</f>
        <v>87809.359816982498</v>
      </c>
      <c r="D36" s="159">
        <f>IF(apport_mensuel_calcul!BW34=0,"",apport_mensuel_calcul!BW34)</f>
        <v>14628.45348126673</v>
      </c>
      <c r="E36" s="171">
        <f>IF(apport_mensuel_calcul!BX34=0,"",apport_mensuel_calcul!BX34)</f>
        <v>102437.81329824922</v>
      </c>
      <c r="F36" s="159" t="str">
        <f>IF(apport_mensuel_calcul!BY34=0,"",apport_mensuel_calcul!BY34)</f>
        <v/>
      </c>
      <c r="G36" s="159">
        <f>IF(apport_mensuel_calcul!BZ34=0,"",apport_mensuel_calcul!BZ34)</f>
        <v>102437.81329824922</v>
      </c>
      <c r="H36" s="180">
        <f>IF(apport_mensuel_calcul!CA34=0,"",apport_mensuel_calcul!CA34)</f>
        <v>0.16659332799779231</v>
      </c>
      <c r="I36" s="180">
        <f>IF(apport_mensuel_calcul!CB34=0,"",apport_mensuel_calcul!CB34)</f>
        <v>2.2579905695230291E-3</v>
      </c>
      <c r="J36" s="174">
        <f>IF(apport_mensuel_calcul!CC34=0,"",apport_mensuel_calcul!CC34)</f>
        <v>9774.3963061631948</v>
      </c>
    </row>
    <row r="37" spans="1:10" thickBot="1" x14ac:dyDescent="0.4">
      <c r="A37" s="157">
        <f>IF(apport_mensuel_calcul!A35=0,"",apport_mensuel_calcul!A35)</f>
        <v>34</v>
      </c>
      <c r="B37" s="158" t="str">
        <f>IF(apport_mensuel_calcul!B35=0,"",apport_mensuel_calcul!B35)</f>
        <v>ACTIONNIRE34</v>
      </c>
      <c r="C37" s="159">
        <f>IF(apport_mensuel_calcul!BV35=0,"",apport_mensuel_calcul!BV35)</f>
        <v>4014536.0314793047</v>
      </c>
      <c r="D37" s="159">
        <f>IF(apport_mensuel_calcul!BW35=0,"",apport_mensuel_calcul!BW35)</f>
        <v>567244.4137741205</v>
      </c>
      <c r="E37" s="171">
        <f>IF(apport_mensuel_calcul!BX35=0,"",apport_mensuel_calcul!BX35)</f>
        <v>4581780.4452534253</v>
      </c>
      <c r="F37" s="159" t="str">
        <f>IF(apport_mensuel_calcul!BY35=0,"",apport_mensuel_calcul!BY35)</f>
        <v/>
      </c>
      <c r="G37" s="159">
        <f>IF(apport_mensuel_calcul!BZ35=0,"",apport_mensuel_calcul!BZ35)</f>
        <v>4581780.4452534253</v>
      </c>
      <c r="H37" s="180">
        <f>IF(apport_mensuel_calcul!CA35=0,"",apport_mensuel_calcul!CA35)</f>
        <v>0.14129762675591137</v>
      </c>
      <c r="I37" s="180">
        <f>IF(apport_mensuel_calcul!CB35=0,"",apport_mensuel_calcul!CB35)</f>
        <v>0.10099412222794955</v>
      </c>
      <c r="J37" s="174">
        <f>IF(apport_mensuel_calcul!CC35=0,"",apport_mensuel_calcul!CC35)</f>
        <v>437183.65726283268</v>
      </c>
    </row>
    <row r="38" spans="1:10" thickBot="1" x14ac:dyDescent="0.4">
      <c r="A38" s="157">
        <f>IF(apport_mensuel_calcul!A36=0,"",apport_mensuel_calcul!A36)</f>
        <v>35</v>
      </c>
      <c r="B38" s="158" t="str">
        <f>IF(apport_mensuel_calcul!B36=0,"",apport_mensuel_calcul!B36)</f>
        <v>ACTIONNIRE35</v>
      </c>
      <c r="C38" s="159">
        <f>IF(apport_mensuel_calcul!BV36=0,"",apport_mensuel_calcul!BV36)</f>
        <v>501360.80944379146</v>
      </c>
      <c r="D38" s="159">
        <f>IF(apport_mensuel_calcul!BW36=0,"",apport_mensuel_calcul!BW36)</f>
        <v>83523.365772908175</v>
      </c>
      <c r="E38" s="171">
        <f>IF(apport_mensuel_calcul!BX36=0,"",apport_mensuel_calcul!BX36)</f>
        <v>584884.1752166996</v>
      </c>
      <c r="F38" s="159" t="str">
        <f>IF(apport_mensuel_calcul!BY36=0,"",apport_mensuel_calcul!BY36)</f>
        <v/>
      </c>
      <c r="G38" s="159">
        <f>IF(apport_mensuel_calcul!BZ36=0,"",apport_mensuel_calcul!BZ36)</f>
        <v>584884.1752166996</v>
      </c>
      <c r="H38" s="180">
        <f>IF(apport_mensuel_calcul!CA36=0,"",apport_mensuel_calcul!CA36)</f>
        <v>0.16659332799779225</v>
      </c>
      <c r="I38" s="180">
        <f>IF(apport_mensuel_calcul!CB36=0,"",apport_mensuel_calcul!CB36)</f>
        <v>1.2892338379553581E-2</v>
      </c>
      <c r="J38" s="174">
        <f>IF(apport_mensuel_calcul!CC36=0,"",apport_mensuel_calcul!CC36)</f>
        <v>55808.392796579967</v>
      </c>
    </row>
    <row r="39" spans="1:10" thickBot="1" x14ac:dyDescent="0.4">
      <c r="A39" s="157">
        <f>IF(apport_mensuel_calcul!A37=0,"",apport_mensuel_calcul!A37)</f>
        <v>36</v>
      </c>
      <c r="B39" s="158" t="str">
        <f>IF(apport_mensuel_calcul!B37=0,"",apport_mensuel_calcul!B37)</f>
        <v>ACTIONNIRE36</v>
      </c>
      <c r="C39" s="159">
        <f>IF(apport_mensuel_calcul!BV37=0,"",apport_mensuel_calcul!BV37)</f>
        <v>2040000</v>
      </c>
      <c r="D39" s="159">
        <f>IF(apport_mensuel_calcul!BW37=0,"",apport_mensuel_calcul!BW37)</f>
        <v>339850.38911549619</v>
      </c>
      <c r="E39" s="171">
        <f>IF(apport_mensuel_calcul!BX37=0,"",apport_mensuel_calcul!BX37)</f>
        <v>2379850.3891154961</v>
      </c>
      <c r="F39" s="159" t="str">
        <f>IF(apport_mensuel_calcul!BY37=0,"",apport_mensuel_calcul!BY37)</f>
        <v/>
      </c>
      <c r="G39" s="159">
        <f>IF(apport_mensuel_calcul!BZ37=0,"",apport_mensuel_calcul!BZ37)</f>
        <v>2379850.3891154961</v>
      </c>
      <c r="H39" s="180">
        <f>IF(apport_mensuel_calcul!CA37=0,"",apport_mensuel_calcul!CA37)</f>
        <v>0.16659332799779225</v>
      </c>
      <c r="I39" s="180">
        <f>IF(apport_mensuel_calcul!CB37=0,"",apport_mensuel_calcul!CB37)</f>
        <v>5.2457969986658658E-2</v>
      </c>
      <c r="J39" s="174">
        <f>IF(apport_mensuel_calcul!CC37=0,"",apport_mensuel_calcul!CC37)</f>
        <v>227080.21680299877</v>
      </c>
    </row>
    <row r="40" spans="1:10" thickBot="1" x14ac:dyDescent="0.4">
      <c r="A40" s="157">
        <f>IF(apport_mensuel_calcul!A38=0,"",apport_mensuel_calcul!A38)</f>
        <v>37</v>
      </c>
      <c r="B40" s="158" t="str">
        <f>IF(apport_mensuel_calcul!B38=0,"",apport_mensuel_calcul!B38)</f>
        <v>ACTIONNIRE37</v>
      </c>
      <c r="C40" s="159">
        <f>IF(apport_mensuel_calcul!BV38=0,"",apport_mensuel_calcul!BV38)</f>
        <v>135000</v>
      </c>
      <c r="D40" s="159">
        <f>IF(apport_mensuel_calcul!BW38=0,"",apport_mensuel_calcul!BW38)</f>
        <v>19453.044502052682</v>
      </c>
      <c r="E40" s="171">
        <f>IF(apport_mensuel_calcul!BX38=0,"",apport_mensuel_calcul!BX38)</f>
        <v>154453.04450205268</v>
      </c>
      <c r="F40" s="159" t="str">
        <f>IF(apport_mensuel_calcul!BY38=0,"",apport_mensuel_calcul!BY38)</f>
        <v/>
      </c>
      <c r="G40" s="159">
        <f>IF(apport_mensuel_calcul!BZ38=0,"",apport_mensuel_calcul!BZ38)</f>
        <v>154453.04450205268</v>
      </c>
      <c r="H40" s="180">
        <f>IF(apport_mensuel_calcul!CA38=0,"",apport_mensuel_calcul!CA38)</f>
        <v>0.14409662594113098</v>
      </c>
      <c r="I40" s="180">
        <f>IF(apport_mensuel_calcul!CB38=0,"",apport_mensuel_calcul!CB38)</f>
        <v>3.4045388776930896E-3</v>
      </c>
      <c r="J40" s="174">
        <f>IF(apport_mensuel_calcul!CC38=0,"",apport_mensuel_calcul!CC38)</f>
        <v>14737.578039283715</v>
      </c>
    </row>
    <row r="41" spans="1:10" thickBot="1" x14ac:dyDescent="0.4">
      <c r="A41" s="157">
        <f>IF(apport_mensuel_calcul!A39=0,"",apport_mensuel_calcul!A39)</f>
        <v>38</v>
      </c>
      <c r="B41" s="158" t="str">
        <f>IF(apport_mensuel_calcul!B39=0,"",apport_mensuel_calcul!B39)</f>
        <v>ACTIONNIRE38</v>
      </c>
      <c r="C41" s="159">
        <f>IF(apport_mensuel_calcul!BV39=0,"",apport_mensuel_calcul!BV39)</f>
        <v>5000</v>
      </c>
      <c r="D41" s="159">
        <f>IF(apport_mensuel_calcul!BW39=0,"",apport_mensuel_calcul!BW39)</f>
        <v>832.96663998896133</v>
      </c>
      <c r="E41" s="171">
        <f>IF(apport_mensuel_calcul!BX39=0,"",apport_mensuel_calcul!BX39)</f>
        <v>5832.9666399889611</v>
      </c>
      <c r="F41" s="159" t="str">
        <f>IF(apport_mensuel_calcul!BY39=0,"",apport_mensuel_calcul!BY39)</f>
        <v/>
      </c>
      <c r="G41" s="159">
        <f>IF(apport_mensuel_calcul!BZ39=0,"",apport_mensuel_calcul!BZ39)</f>
        <v>5832.9666399889611</v>
      </c>
      <c r="H41" s="180">
        <f>IF(apport_mensuel_calcul!CA39=0,"",apport_mensuel_calcul!CA39)</f>
        <v>0.16659332799779228</v>
      </c>
      <c r="I41" s="180">
        <f>IF(apport_mensuel_calcul!CB39=0,"",apport_mensuel_calcul!CB39)</f>
        <v>1.2857345584965359E-4</v>
      </c>
      <c r="J41" s="174">
        <f>IF(apport_mensuel_calcul!CC39=0,"",apport_mensuel_calcul!CC39)</f>
        <v>556.56915883087947</v>
      </c>
    </row>
    <row r="42" spans="1:10" thickBot="1" x14ac:dyDescent="0.4">
      <c r="A42" s="157">
        <f>IF(apport_mensuel_calcul!A40=0,"",apport_mensuel_calcul!A40)</f>
        <v>39</v>
      </c>
      <c r="B42" s="158" t="str">
        <f>IF(apport_mensuel_calcul!B40=0,"",apport_mensuel_calcul!B40)</f>
        <v>ACTIONNIRE39</v>
      </c>
      <c r="C42" s="159">
        <f>IF(apport_mensuel_calcul!BV40=0,"",apport_mensuel_calcul!BV40)</f>
        <v>360000</v>
      </c>
      <c r="D42" s="159">
        <f>IF(apport_mensuel_calcul!BW40=0,"",apport_mensuel_calcul!BW40)</f>
        <v>59973.598079205236</v>
      </c>
      <c r="E42" s="171">
        <f>IF(apport_mensuel_calcul!BX40=0,"",apport_mensuel_calcul!BX40)</f>
        <v>419973.59807920526</v>
      </c>
      <c r="F42" s="159" t="str">
        <f>IF(apport_mensuel_calcul!BY40=0,"",apport_mensuel_calcul!BY40)</f>
        <v/>
      </c>
      <c r="G42" s="159">
        <f>IF(apport_mensuel_calcul!BZ40=0,"",apport_mensuel_calcul!BZ40)</f>
        <v>419973.59807920526</v>
      </c>
      <c r="H42" s="180">
        <f>IF(apport_mensuel_calcul!CA40=0,"",apport_mensuel_calcul!CA40)</f>
        <v>0.16659332799779233</v>
      </c>
      <c r="I42" s="180">
        <f>IF(apport_mensuel_calcul!CB40=0,"",apport_mensuel_calcul!CB40)</f>
        <v>9.2572888211750592E-3</v>
      </c>
      <c r="J42" s="174">
        <f>IF(apport_mensuel_calcul!CC40=0,"",apport_mensuel_calcul!CC40)</f>
        <v>40072.979435823319</v>
      </c>
    </row>
    <row r="43" spans="1:10" thickBot="1" x14ac:dyDescent="0.4">
      <c r="A43" s="157">
        <f>IF(apport_mensuel_calcul!A41=0,"",apport_mensuel_calcul!A41)</f>
        <v>40</v>
      </c>
      <c r="B43" s="158" t="str">
        <f>IF(apport_mensuel_calcul!B41=0,"",apport_mensuel_calcul!B41)</f>
        <v>ACTIONNIRE40</v>
      </c>
      <c r="C43" s="159">
        <f>IF(apport_mensuel_calcul!BV41=0,"",apport_mensuel_calcul!BV41)</f>
        <v>120000</v>
      </c>
      <c r="D43" s="159">
        <f>IF(apport_mensuel_calcul!BW41=0,"",apport_mensuel_calcul!BW41)</f>
        <v>19991.199359735077</v>
      </c>
      <c r="E43" s="171">
        <f>IF(apport_mensuel_calcul!BX41=0,"",apport_mensuel_calcul!BX41)</f>
        <v>139991.19935973507</v>
      </c>
      <c r="F43" s="159" t="str">
        <f>IF(apport_mensuel_calcul!BY41=0,"",apport_mensuel_calcul!BY41)</f>
        <v/>
      </c>
      <c r="G43" s="159">
        <f>IF(apport_mensuel_calcul!BZ41=0,"",apport_mensuel_calcul!BZ41)</f>
        <v>139991.19935973507</v>
      </c>
      <c r="H43" s="180">
        <f>IF(apport_mensuel_calcul!CA41=0,"",apport_mensuel_calcul!CA41)</f>
        <v>0.16659332799779231</v>
      </c>
      <c r="I43" s="180">
        <f>IF(apport_mensuel_calcul!CB41=0,"",apport_mensuel_calcul!CB41)</f>
        <v>3.0857629403916861E-3</v>
      </c>
      <c r="J43" s="174">
        <f>IF(apport_mensuel_calcul!CC41=0,"",apport_mensuel_calcul!CC41)</f>
        <v>13357.659811941106</v>
      </c>
    </row>
    <row r="44" spans="1:10" ht="31.5" thickBot="1" x14ac:dyDescent="0.4">
      <c r="A44" s="157">
        <f>IF(apport_mensuel_calcul!A42=0,"",apport_mensuel_calcul!A42)</f>
        <v>41</v>
      </c>
      <c r="B44" s="158" t="str">
        <f>IF(apport_mensuel_calcul!B42=0,"",apport_mensuel_calcul!B42)</f>
        <v>ACTIONNIRE41</v>
      </c>
      <c r="C44" s="159">
        <f>IF(apport_mensuel_calcul!BV42=0,"",apport_mensuel_calcul!BV42)</f>
        <v>120000</v>
      </c>
      <c r="D44" s="159">
        <f>IF(apport_mensuel_calcul!BW42=0,"",apport_mensuel_calcul!BW42)</f>
        <v>9971.9504499599116</v>
      </c>
      <c r="E44" s="171">
        <f>IF(apport_mensuel_calcul!BX42=0,"",apport_mensuel_calcul!BX42)</f>
        <v>129971.95044995991</v>
      </c>
      <c r="F44" s="159" t="str">
        <f>IF(apport_mensuel_calcul!BY42=0,"",apport_mensuel_calcul!BY42)</f>
        <v/>
      </c>
      <c r="G44" s="159">
        <f>IF(apport_mensuel_calcul!BZ42=0,"",apport_mensuel_calcul!BZ42)</f>
        <v>129971.95044995991</v>
      </c>
      <c r="H44" s="180">
        <f>IF(apport_mensuel_calcul!CA42=0,"",apport_mensuel_calcul!CA42)</f>
        <v>8.3099587082999263E-2</v>
      </c>
      <c r="I44" s="180">
        <f>IF(apport_mensuel_calcul!CB42=0,"",apport_mensuel_calcul!CB42)</f>
        <v>2.8649131504209853E-3</v>
      </c>
      <c r="J44" s="174">
        <f>IF(apport_mensuel_calcul!CC42=0,"",apport_mensuel_calcul!CC42)</f>
        <v>12401.644582983561</v>
      </c>
    </row>
    <row r="45" spans="1:10" thickBot="1" x14ac:dyDescent="0.4">
      <c r="A45" s="157" t="str">
        <f>IF(apport_mensuel_calcul!A43=0,"",apport_mensuel_calcul!A43)</f>
        <v/>
      </c>
      <c r="B45" s="158" t="str">
        <f>IF(apport_mensuel_calcul!B43=0,"",apport_mensuel_calcul!B43)</f>
        <v/>
      </c>
      <c r="C45" s="159" t="str">
        <f>IF(apport_mensuel_calcul!BV43=0,"",apport_mensuel_calcul!BV43)</f>
        <v/>
      </c>
      <c r="D45" s="159" t="str">
        <f>IF(apport_mensuel_calcul!BW43=0,"",apport_mensuel_calcul!BW43)</f>
        <v/>
      </c>
      <c r="E45" s="171" t="str">
        <f>IF(apport_mensuel_calcul!BX43=0,"",apport_mensuel_calcul!BX43)</f>
        <v/>
      </c>
      <c r="F45" s="159" t="str">
        <f>IF(apport_mensuel_calcul!BY43=0,"",apport_mensuel_calcul!BY43)</f>
        <v/>
      </c>
      <c r="G45" s="159" t="str">
        <f>IF(apport_mensuel_calcul!BZ43=0,"",apport_mensuel_calcul!BZ43)</f>
        <v/>
      </c>
      <c r="H45" s="180" t="str">
        <f>IF(apport_mensuel_calcul!CA43=0,"",apport_mensuel_calcul!CA43)</f>
        <v/>
      </c>
      <c r="I45" s="180" t="str">
        <f>IF(apport_mensuel_calcul!CB43=0,"",apport_mensuel_calcul!CB43)</f>
        <v/>
      </c>
      <c r="J45" s="174" t="str">
        <f>IF(apport_mensuel_calcul!CC43=0,"",apport_mensuel_calcul!CC43)</f>
        <v/>
      </c>
    </row>
    <row r="46" spans="1:10" thickBot="1" x14ac:dyDescent="0.4">
      <c r="A46" s="157" t="str">
        <f>IF(apport_mensuel_calcul!A44=0,"",apport_mensuel_calcul!A44)</f>
        <v/>
      </c>
      <c r="B46" s="158" t="str">
        <f>IF(apport_mensuel_calcul!B44=0,"",apport_mensuel_calcul!B44)</f>
        <v/>
      </c>
      <c r="C46" s="159" t="str">
        <f>IF(apport_mensuel_calcul!BV44=0,"",apport_mensuel_calcul!BV44)</f>
        <v/>
      </c>
      <c r="D46" s="159" t="str">
        <f>IF(apport_mensuel_calcul!BW44=0,"",apport_mensuel_calcul!BW44)</f>
        <v/>
      </c>
      <c r="E46" s="171" t="str">
        <f>IF(apport_mensuel_calcul!BX44=0,"",apport_mensuel_calcul!BX44)</f>
        <v/>
      </c>
      <c r="F46" s="159" t="str">
        <f>IF(apport_mensuel_calcul!BY44=0,"",apport_mensuel_calcul!BY44)</f>
        <v/>
      </c>
      <c r="G46" s="159" t="str">
        <f>IF(apport_mensuel_calcul!BZ44=0,"",apport_mensuel_calcul!BZ44)</f>
        <v/>
      </c>
      <c r="H46" s="180" t="str">
        <f>IF(apport_mensuel_calcul!CA44=0,"",apport_mensuel_calcul!CA44)</f>
        <v/>
      </c>
      <c r="I46" s="180" t="str">
        <f>IF(apport_mensuel_calcul!CB44=0,"",apport_mensuel_calcul!CB44)</f>
        <v/>
      </c>
      <c r="J46" s="174" t="str">
        <f>IF(apport_mensuel_calcul!CC44=0,"",apport_mensuel_calcul!CC44)</f>
        <v/>
      </c>
    </row>
    <row r="47" spans="1:10" thickBot="1" x14ac:dyDescent="0.4">
      <c r="A47" s="157" t="str">
        <f>IF(apport_mensuel_calcul!A45=0,"",apport_mensuel_calcul!A45)</f>
        <v/>
      </c>
      <c r="B47" s="158" t="str">
        <f>IF(apport_mensuel_calcul!B45=0,"",apport_mensuel_calcul!B45)</f>
        <v/>
      </c>
      <c r="C47" s="159" t="str">
        <f>IF(apport_mensuel_calcul!BV45=0,"",apport_mensuel_calcul!BV45)</f>
        <v/>
      </c>
      <c r="D47" s="159" t="str">
        <f>IF(apport_mensuel_calcul!BW45=0,"",apport_mensuel_calcul!BW45)</f>
        <v/>
      </c>
      <c r="E47" s="171" t="str">
        <f>IF(apport_mensuel_calcul!BX45=0,"",apport_mensuel_calcul!BX45)</f>
        <v/>
      </c>
      <c r="F47" s="159" t="str">
        <f>IF(apport_mensuel_calcul!BY45=0,"",apport_mensuel_calcul!BY45)</f>
        <v/>
      </c>
      <c r="G47" s="159" t="str">
        <f>IF(apport_mensuel_calcul!BZ45=0,"",apport_mensuel_calcul!BZ45)</f>
        <v/>
      </c>
      <c r="H47" s="180" t="str">
        <f>IF(apport_mensuel_calcul!CA45=0,"",apport_mensuel_calcul!CA45)</f>
        <v/>
      </c>
      <c r="I47" s="180" t="str">
        <f>IF(apport_mensuel_calcul!CB45=0,"",apport_mensuel_calcul!CB45)</f>
        <v/>
      </c>
      <c r="J47" s="174" t="str">
        <f>IF(apport_mensuel_calcul!CC45=0,"",apport_mensuel_calcul!CC45)</f>
        <v/>
      </c>
    </row>
    <row r="48" spans="1:10" s="7" customFormat="1" ht="18.5" thickBot="1" x14ac:dyDescent="0.45">
      <c r="A48" s="262" t="s">
        <v>23</v>
      </c>
      <c r="B48" s="263"/>
      <c r="C48" s="175">
        <f>apport_mensuel_calcul!BV48</f>
        <v>39105402.980000004</v>
      </c>
      <c r="D48" s="175">
        <f>apport_mensuel_calcul!BW48</f>
        <v>6261400.0000000028</v>
      </c>
      <c r="E48" s="171">
        <f>apport_mensuel_calcul!BX48</f>
        <v>45366802.979999989</v>
      </c>
      <c r="F48" s="175">
        <f>apport_mensuel_calcul!BY48</f>
        <v>0</v>
      </c>
      <c r="G48" s="175">
        <f>apport_mensuel_calcul!BZ48</f>
        <v>45366802.979999989</v>
      </c>
      <c r="H48" s="181">
        <f>apport_mensuel_calcul!CA48</f>
        <v>0.16011598200899047</v>
      </c>
      <c r="I48" s="181">
        <f>apport_mensuel_calcul!CB48</f>
        <v>1</v>
      </c>
      <c r="J48" s="174">
        <f>apport_mensuel_calcul!CC48</f>
        <v>4328802.9800000042</v>
      </c>
    </row>
    <row r="49" spans="1:12" s="7" customFormat="1" ht="18.5" thickTop="1" x14ac:dyDescent="0.4">
      <c r="A49" s="160"/>
      <c r="B49" s="161"/>
      <c r="C49" s="162"/>
      <c r="D49" s="162"/>
      <c r="E49" s="162"/>
      <c r="F49" s="162"/>
      <c r="G49" s="162"/>
      <c r="H49" s="162"/>
      <c r="I49" s="162"/>
      <c r="J49" s="162"/>
    </row>
    <row r="50" spans="1:12" x14ac:dyDescent="0.4">
      <c r="C50" s="264" t="s">
        <v>183</v>
      </c>
      <c r="D50" s="264"/>
      <c r="E50" s="129">
        <f>apport_mensuel_calcul!BX49</f>
        <v>42292370</v>
      </c>
      <c r="F50" s="162"/>
      <c r="G50" s="265"/>
      <c r="H50" s="265"/>
      <c r="I50" s="265"/>
      <c r="J50" s="163"/>
      <c r="L50" s="211"/>
    </row>
    <row r="51" spans="1:12" ht="19" x14ac:dyDescent="0.4">
      <c r="B51" s="131" t="s">
        <v>184</v>
      </c>
      <c r="C51" s="266">
        <f>apport_mensuel_calcul!BW50</f>
        <v>4328802.9800000042</v>
      </c>
      <c r="D51" s="266"/>
      <c r="E51" s="150"/>
      <c r="F51" s="130"/>
      <c r="G51" s="130"/>
      <c r="H51" s="100"/>
      <c r="I51" s="114"/>
    </row>
    <row r="52" spans="1:12" ht="32" customHeight="1" x14ac:dyDescent="0.35">
      <c r="C52" s="100"/>
      <c r="D52" s="100"/>
      <c r="E52" s="100"/>
      <c r="F52" s="162"/>
      <c r="G52" s="100"/>
      <c r="H52" s="100"/>
      <c r="I52" s="114"/>
    </row>
    <row r="53" spans="1:12" s="80" customFormat="1" ht="33" customHeight="1" x14ac:dyDescent="0.35">
      <c r="A53" s="259" t="s">
        <v>197</v>
      </c>
      <c r="B53" s="259"/>
      <c r="C53" s="164">
        <f>apport_mensuel_calcul!BW52</f>
        <v>52000000</v>
      </c>
      <c r="D53" s="165"/>
      <c r="E53" s="165"/>
      <c r="F53" s="165"/>
      <c r="G53" s="165"/>
      <c r="H53" s="165"/>
      <c r="I53" s="166"/>
      <c r="J53" s="167"/>
    </row>
    <row r="54" spans="1:12" s="80" customFormat="1" ht="34" customHeight="1" x14ac:dyDescent="0.35">
      <c r="A54" s="260" t="s">
        <v>198</v>
      </c>
      <c r="B54" s="260"/>
      <c r="C54" s="168">
        <f>apport_mensuel_calcul!BW53</f>
        <v>6261400</v>
      </c>
      <c r="D54" s="165"/>
      <c r="E54" s="165"/>
      <c r="F54" s="165"/>
      <c r="G54" s="165"/>
      <c r="H54" s="165"/>
      <c r="I54" s="166"/>
      <c r="J54" s="167"/>
    </row>
    <row r="55" spans="1:12" ht="25.5" customHeight="1" x14ac:dyDescent="0.35">
      <c r="A55" s="261" t="s">
        <v>199</v>
      </c>
      <c r="B55" s="261"/>
      <c r="C55" s="169">
        <f>apport_mensuel_calcul!BW54-SUM(recouvrement_dette!J2:N2)</f>
        <v>17316000</v>
      </c>
      <c r="D55" s="100"/>
      <c r="E55" s="100"/>
      <c r="F55" s="100"/>
      <c r="G55" s="100"/>
      <c r="H55" s="100"/>
      <c r="I55" s="114"/>
    </row>
    <row r="56" spans="1:12" x14ac:dyDescent="0.35">
      <c r="A56" s="188"/>
      <c r="B56" s="189" t="s">
        <v>193</v>
      </c>
      <c r="C56" s="192">
        <f>C55/(C54+C53)</f>
        <v>0.29721221941113668</v>
      </c>
      <c r="D56" s="100"/>
      <c r="E56" s="100"/>
      <c r="F56" s="100"/>
      <c r="G56" s="100"/>
      <c r="H56" s="100"/>
      <c r="I56" s="114"/>
    </row>
    <row r="57" spans="1:12" ht="6" customHeight="1" x14ac:dyDescent="0.4">
      <c r="A57" s="188"/>
      <c r="B57" s="190"/>
    </row>
    <row r="58" spans="1:12" s="110" customFormat="1" ht="19" x14ac:dyDescent="0.4">
      <c r="A58" s="191"/>
      <c r="B58" s="189" t="s">
        <v>194</v>
      </c>
      <c r="C58" s="170">
        <f>apport_mensuel_calcul!BW57</f>
        <v>0</v>
      </c>
      <c r="D58" s="165"/>
      <c r="E58" s="109"/>
      <c r="F58" s="109"/>
      <c r="G58" s="109"/>
      <c r="H58" s="109"/>
      <c r="I58" s="116"/>
    </row>
    <row r="59" spans="1:12" s="123" customFormat="1" x14ac:dyDescent="0.35">
      <c r="A59" s="100"/>
      <c r="B59" s="120"/>
      <c r="C59" s="100"/>
      <c r="D59" s="165"/>
      <c r="E59" s="100"/>
      <c r="F59" s="100"/>
      <c r="G59" s="100"/>
      <c r="H59" s="100"/>
      <c r="I59" s="122"/>
    </row>
    <row r="60" spans="1:12" x14ac:dyDescent="0.4">
      <c r="B60" s="124"/>
    </row>
  </sheetData>
  <mergeCells count="8">
    <mergeCell ref="I1:J1"/>
    <mergeCell ref="A53:B53"/>
    <mergeCell ref="A54:B54"/>
    <mergeCell ref="A55:B55"/>
    <mergeCell ref="A48:B48"/>
    <mergeCell ref="C50:D50"/>
    <mergeCell ref="G50:I50"/>
    <mergeCell ref="C51:D51"/>
  </mergeCells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&amp;C&amp;"Cambria,Gras"&amp;18SYNTHESE DES AVOIRS DES MEMBRES DE LA MICROFINANCE CAMDVI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9125-D165-4D3F-A272-3F51063FAF8A}">
  <sheetPr codeName="Feuil10">
    <tabColor rgb="FF00B0F0"/>
  </sheetPr>
  <dimension ref="A1:C3"/>
  <sheetViews>
    <sheetView workbookViewId="0">
      <selection activeCell="G15" sqref="G15"/>
    </sheetView>
  </sheetViews>
  <sheetFormatPr baseColWidth="10" defaultRowHeight="14.5" x14ac:dyDescent="0.35"/>
  <sheetData>
    <row r="1" spans="1:3" x14ac:dyDescent="0.35">
      <c r="A1" t="s">
        <v>183</v>
      </c>
      <c r="C1">
        <v>7463630</v>
      </c>
    </row>
    <row r="2" spans="1:3" x14ac:dyDescent="0.35">
      <c r="A2">
        <v>7886397</v>
      </c>
      <c r="C2">
        <f>A2+C1</f>
        <v>15350027</v>
      </c>
    </row>
    <row r="3" spans="1:3" x14ac:dyDescent="0.35">
      <c r="C3" s="79">
        <f>C2-apport_mensuel_calcul!BX48</f>
        <v>-30016775.979999989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7AD5-58DF-48FA-A85E-8196C27AE520}">
  <sheetPr codeName="Feuil11">
    <tabColor rgb="FF00B0F0"/>
  </sheetPr>
  <dimension ref="A1:AG41"/>
  <sheetViews>
    <sheetView topLeftCell="G1" zoomScaleNormal="100" workbookViewId="0">
      <pane ySplit="1" topLeftCell="A14" activePane="bottomLeft" state="frozen"/>
      <selection activeCell="D54" sqref="D54"/>
      <selection pane="bottomLeft" activeCell="D54" sqref="D54"/>
    </sheetView>
  </sheetViews>
  <sheetFormatPr baseColWidth="10" defaultColWidth="11.453125" defaultRowHeight="17.5" x14ac:dyDescent="0.35"/>
  <cols>
    <col min="1" max="1" width="4.1796875" style="8" customWidth="1"/>
    <col min="2" max="2" width="34.81640625" style="8" customWidth="1"/>
    <col min="3" max="3" width="23.1796875" style="58" customWidth="1"/>
    <col min="4" max="4" width="19.54296875" style="58" customWidth="1"/>
    <col min="5" max="9" width="13.7265625" style="8" customWidth="1"/>
    <col min="10" max="10" width="16" style="8" customWidth="1"/>
    <col min="11" max="11" width="12.6328125" style="8" bestFit="1" customWidth="1"/>
    <col min="12" max="12" width="12.90625" style="8" customWidth="1"/>
    <col min="13" max="13" width="12.6328125" style="8" customWidth="1"/>
    <col min="14" max="14" width="12.6328125" style="8" bestFit="1" customWidth="1"/>
    <col min="15" max="15" width="12.54296875" style="8" customWidth="1"/>
    <col min="16" max="18" width="12.6328125" style="8" bestFit="1" customWidth="1"/>
    <col min="19" max="19" width="12.453125" style="8" customWidth="1"/>
    <col min="20" max="20" width="13.54296875" style="8" customWidth="1"/>
    <col min="21" max="21" width="12.6328125" style="8" bestFit="1" customWidth="1"/>
    <col min="22" max="22" width="12.6328125" style="8" customWidth="1"/>
    <col min="23" max="23" width="13.26953125" style="8" customWidth="1"/>
    <col min="24" max="24" width="11.54296875" style="8" bestFit="1" customWidth="1"/>
    <col min="25" max="25" width="12.54296875" style="8" customWidth="1"/>
    <col min="26" max="26" width="12" style="8" bestFit="1" customWidth="1"/>
    <col min="27" max="27" width="13.81640625" style="8" customWidth="1"/>
    <col min="28" max="28" width="12.6328125" style="8" customWidth="1"/>
    <col min="29" max="29" width="12.6328125" style="8" bestFit="1" customWidth="1"/>
    <col min="30" max="30" width="14.26953125" style="8" bestFit="1" customWidth="1"/>
    <col min="31" max="31" width="14.08984375" style="8" customWidth="1"/>
    <col min="32" max="16384" width="11.453125" style="8"/>
  </cols>
  <sheetData>
    <row r="1" spans="1:33" s="7" customFormat="1" ht="54" x14ac:dyDescent="0.4">
      <c r="A1" s="19" t="s">
        <v>20</v>
      </c>
      <c r="B1" s="20" t="s">
        <v>21</v>
      </c>
      <c r="C1" s="56" t="s">
        <v>79</v>
      </c>
      <c r="D1" s="56" t="s">
        <v>78</v>
      </c>
      <c r="E1" s="53" t="s">
        <v>75</v>
      </c>
      <c r="F1" s="53" t="s">
        <v>188</v>
      </c>
      <c r="G1" s="53" t="s">
        <v>89</v>
      </c>
      <c r="H1" s="53" t="s">
        <v>90</v>
      </c>
      <c r="I1" s="21">
        <v>45839</v>
      </c>
      <c r="J1" s="21">
        <v>45870</v>
      </c>
      <c r="K1" s="21">
        <v>45901</v>
      </c>
      <c r="L1" s="21">
        <v>45931</v>
      </c>
      <c r="M1" s="21">
        <v>45962</v>
      </c>
      <c r="N1" s="21">
        <v>45992</v>
      </c>
      <c r="O1" s="21">
        <v>46023</v>
      </c>
      <c r="P1" s="21">
        <v>46054</v>
      </c>
      <c r="Q1" s="21">
        <v>46082</v>
      </c>
      <c r="R1" s="21">
        <v>46113</v>
      </c>
      <c r="S1" s="21">
        <v>46143</v>
      </c>
      <c r="T1" s="21">
        <v>46174</v>
      </c>
      <c r="U1" s="21">
        <v>46204</v>
      </c>
      <c r="V1" s="21">
        <v>46235</v>
      </c>
      <c r="W1" s="21">
        <v>46266</v>
      </c>
      <c r="X1" s="21">
        <v>46296</v>
      </c>
      <c r="Y1" s="21">
        <v>46327</v>
      </c>
      <c r="Z1" s="21">
        <v>46357</v>
      </c>
      <c r="AA1" s="21">
        <v>46388</v>
      </c>
      <c r="AB1" s="21">
        <v>46419</v>
      </c>
      <c r="AC1" s="21">
        <v>46447</v>
      </c>
      <c r="AD1" s="21">
        <v>46478</v>
      </c>
      <c r="AE1" s="21">
        <v>46508</v>
      </c>
      <c r="AF1" s="21">
        <v>46539</v>
      </c>
      <c r="AG1" s="21">
        <v>46569</v>
      </c>
    </row>
    <row r="2" spans="1:33" x14ac:dyDescent="0.35">
      <c r="A2" s="9">
        <v>1</v>
      </c>
      <c r="B2" s="10" t="s">
        <v>66</v>
      </c>
      <c r="C2" s="57"/>
      <c r="D2" s="57"/>
      <c r="E2" s="11">
        <v>75000</v>
      </c>
      <c r="F2" s="11"/>
      <c r="G2" s="67">
        <f>H2/E2</f>
        <v>0</v>
      </c>
      <c r="H2" s="11"/>
      <c r="I2" s="11"/>
      <c r="J2" s="11"/>
      <c r="K2" s="11"/>
      <c r="L2" s="11"/>
      <c r="M2" s="54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44"/>
      <c r="AC2" s="144"/>
      <c r="AD2" s="144"/>
      <c r="AE2" s="144"/>
      <c r="AF2" s="144"/>
      <c r="AG2" s="145"/>
    </row>
    <row r="3" spans="1:33" x14ac:dyDescent="0.35">
      <c r="A3" s="9">
        <v>2</v>
      </c>
      <c r="B3" s="10" t="s">
        <v>102</v>
      </c>
      <c r="C3" s="57" t="s">
        <v>206</v>
      </c>
      <c r="D3" s="57" t="s">
        <v>210</v>
      </c>
      <c r="E3" s="11">
        <v>2400000</v>
      </c>
      <c r="F3" s="11">
        <v>20</v>
      </c>
      <c r="G3" s="68">
        <v>0.2</v>
      </c>
      <c r="H3" s="11">
        <f t="shared" ref="H3:H6" si="0">G3*E3</f>
        <v>480000</v>
      </c>
      <c r="I3" s="11"/>
      <c r="J3" s="11">
        <v>2400000</v>
      </c>
      <c r="K3" s="11"/>
      <c r="L3" s="11"/>
      <c r="M3" s="54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44"/>
      <c r="AC3" s="144"/>
      <c r="AD3" s="144"/>
      <c r="AE3" s="144"/>
      <c r="AF3" s="144"/>
      <c r="AG3" s="145"/>
    </row>
    <row r="4" spans="1:33" x14ac:dyDescent="0.35">
      <c r="A4" s="9">
        <v>5</v>
      </c>
      <c r="B4" s="10" t="str">
        <f>recouvrement_dette!B4</f>
        <v>action3</v>
      </c>
      <c r="C4" s="57" t="s">
        <v>211</v>
      </c>
      <c r="D4" s="57" t="s">
        <v>212</v>
      </c>
      <c r="E4" s="11">
        <v>5500000</v>
      </c>
      <c r="F4" s="11">
        <v>10</v>
      </c>
      <c r="G4" s="68">
        <f t="shared" ref="G4:G9" si="1">IF(E4&lt;1000000,F4*1.5%,F4*1%)</f>
        <v>0.1</v>
      </c>
      <c r="H4" s="11">
        <f t="shared" si="0"/>
        <v>550000</v>
      </c>
      <c r="I4" s="11"/>
      <c r="J4" s="11">
        <v>5500000</v>
      </c>
      <c r="K4" s="11"/>
      <c r="L4" s="11"/>
      <c r="M4" s="54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44"/>
      <c r="AC4" s="144"/>
      <c r="AD4" s="144"/>
      <c r="AE4" s="144"/>
      <c r="AF4" s="144"/>
      <c r="AG4" s="145"/>
    </row>
    <row r="5" spans="1:33" x14ac:dyDescent="0.35">
      <c r="A5" s="9">
        <v>6</v>
      </c>
      <c r="B5" s="10" t="str">
        <f>recouvrement_dette!B5</f>
        <v>action4</v>
      </c>
      <c r="C5" s="57" t="s">
        <v>211</v>
      </c>
      <c r="D5" s="57" t="s">
        <v>237</v>
      </c>
      <c r="E5" s="11">
        <v>300000</v>
      </c>
      <c r="F5" s="11">
        <v>12</v>
      </c>
      <c r="G5" s="68">
        <f t="shared" si="1"/>
        <v>0.18</v>
      </c>
      <c r="H5" s="11">
        <f t="shared" si="0"/>
        <v>54000</v>
      </c>
      <c r="I5" s="11"/>
      <c r="J5" s="11">
        <v>300000</v>
      </c>
      <c r="K5" s="11"/>
      <c r="L5" s="11"/>
      <c r="M5" s="54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44"/>
      <c r="AC5" s="144"/>
      <c r="AD5" s="144"/>
      <c r="AE5" s="144"/>
      <c r="AF5" s="144"/>
      <c r="AG5" s="145"/>
    </row>
    <row r="6" spans="1:33" x14ac:dyDescent="0.35">
      <c r="A6" s="9">
        <v>7</v>
      </c>
      <c r="B6" s="10" t="str">
        <f>recouvrement_dette!B6</f>
        <v>action5</v>
      </c>
      <c r="C6" s="57" t="s">
        <v>211</v>
      </c>
      <c r="D6" s="57" t="s">
        <v>238</v>
      </c>
      <c r="E6" s="11">
        <v>1850000</v>
      </c>
      <c r="F6" s="11">
        <v>24</v>
      </c>
      <c r="G6" s="68">
        <f t="shared" si="1"/>
        <v>0.24</v>
      </c>
      <c r="H6" s="11">
        <f t="shared" si="0"/>
        <v>444000</v>
      </c>
      <c r="I6" s="11"/>
      <c r="J6" s="11">
        <v>1850000</v>
      </c>
      <c r="K6" s="11"/>
      <c r="L6" s="11"/>
      <c r="M6" s="54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44"/>
      <c r="AC6" s="144"/>
      <c r="AD6" s="144"/>
      <c r="AE6" s="144"/>
      <c r="AF6" s="144"/>
      <c r="AG6" s="145"/>
    </row>
    <row r="7" spans="1:33" x14ac:dyDescent="0.35">
      <c r="A7" s="9">
        <v>8</v>
      </c>
      <c r="B7" s="10" t="str">
        <f>recouvrement_dette!B7</f>
        <v>action6</v>
      </c>
      <c r="C7" s="57" t="s">
        <v>211</v>
      </c>
      <c r="D7" s="57" t="s">
        <v>237</v>
      </c>
      <c r="E7" s="11">
        <v>3700000</v>
      </c>
      <c r="F7" s="11">
        <v>12</v>
      </c>
      <c r="G7" s="68">
        <f t="shared" si="1"/>
        <v>0.12</v>
      </c>
      <c r="H7" s="11">
        <f t="shared" ref="H7" si="2">G7*E7</f>
        <v>444000</v>
      </c>
      <c r="I7" s="11"/>
      <c r="J7" s="11">
        <v>3700000</v>
      </c>
      <c r="K7" s="11"/>
      <c r="L7" s="11"/>
      <c r="M7" s="54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44"/>
      <c r="AC7" s="144"/>
      <c r="AD7" s="144"/>
      <c r="AE7" s="144"/>
      <c r="AF7" s="144"/>
      <c r="AG7" s="145"/>
    </row>
    <row r="8" spans="1:33" x14ac:dyDescent="0.35">
      <c r="A8" s="9">
        <v>9</v>
      </c>
      <c r="B8" s="10" t="str">
        <f>recouvrement_dette!B8</f>
        <v>action7</v>
      </c>
      <c r="C8" s="57" t="s">
        <v>211</v>
      </c>
      <c r="D8" s="57" t="s">
        <v>237</v>
      </c>
      <c r="E8" s="11">
        <v>4000000</v>
      </c>
      <c r="F8" s="11">
        <v>12</v>
      </c>
      <c r="G8" s="68">
        <f t="shared" si="1"/>
        <v>0.12</v>
      </c>
      <c r="H8" s="11">
        <f t="shared" ref="H8" si="3">G8*E8</f>
        <v>480000</v>
      </c>
      <c r="I8" s="11"/>
      <c r="J8" s="11">
        <v>4000000</v>
      </c>
      <c r="K8" s="11"/>
      <c r="L8" s="11"/>
      <c r="M8" s="54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44"/>
      <c r="AC8" s="144"/>
      <c r="AD8" s="144"/>
      <c r="AE8" s="144"/>
      <c r="AF8" s="144"/>
      <c r="AG8" s="145"/>
    </row>
    <row r="9" spans="1:33" x14ac:dyDescent="0.35">
      <c r="A9" s="9">
        <v>10</v>
      </c>
      <c r="B9" s="10" t="str">
        <f>recouvrement_dette!B9</f>
        <v>action8</v>
      </c>
      <c r="C9" s="57" t="s">
        <v>211</v>
      </c>
      <c r="D9" s="57" t="s">
        <v>212</v>
      </c>
      <c r="E9" s="11">
        <v>4000000</v>
      </c>
      <c r="F9" s="11">
        <v>10</v>
      </c>
      <c r="G9" s="68">
        <f t="shared" si="1"/>
        <v>0.1</v>
      </c>
      <c r="H9" s="11">
        <f t="shared" ref="H9:H10" si="4">G9*E9</f>
        <v>400000</v>
      </c>
      <c r="I9" s="11"/>
      <c r="J9" s="11">
        <v>4000000</v>
      </c>
      <c r="K9" s="11"/>
      <c r="L9" s="11"/>
      <c r="M9" s="54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44"/>
      <c r="AC9" s="144"/>
      <c r="AD9" s="144"/>
      <c r="AE9" s="144"/>
      <c r="AF9" s="144"/>
      <c r="AG9" s="145"/>
    </row>
    <row r="10" spans="1:33" x14ac:dyDescent="0.35">
      <c r="A10" s="9">
        <v>11</v>
      </c>
      <c r="B10" s="10" t="str">
        <f>recouvrement_dette!B10</f>
        <v>action9</v>
      </c>
      <c r="C10" s="57" t="s">
        <v>211</v>
      </c>
      <c r="D10" s="57" t="s">
        <v>237</v>
      </c>
      <c r="E10" s="11">
        <v>1150000</v>
      </c>
      <c r="F10" s="11">
        <v>12</v>
      </c>
      <c r="G10" s="68">
        <f t="shared" ref="G10" si="5">IF(E10&lt;1000000,F10*1.5%,F10*1%)</f>
        <v>0.12</v>
      </c>
      <c r="H10" s="11">
        <f t="shared" si="4"/>
        <v>138000</v>
      </c>
      <c r="I10" s="11"/>
      <c r="J10" s="11">
        <v>1150000</v>
      </c>
      <c r="K10" s="11"/>
      <c r="L10" s="11"/>
      <c r="M10" s="54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44"/>
      <c r="AC10" s="144"/>
      <c r="AD10" s="144"/>
      <c r="AE10" s="144"/>
      <c r="AF10" s="144"/>
      <c r="AG10" s="145"/>
    </row>
    <row r="11" spans="1:33" x14ac:dyDescent="0.35">
      <c r="A11" s="9">
        <v>12</v>
      </c>
      <c r="B11" s="10" t="str">
        <f>recouvrement_dette!B11</f>
        <v>action10</v>
      </c>
      <c r="C11" s="57" t="s">
        <v>211</v>
      </c>
      <c r="D11" s="57" t="s">
        <v>242</v>
      </c>
      <c r="E11" s="11">
        <v>4000000</v>
      </c>
      <c r="F11" s="11">
        <v>9</v>
      </c>
      <c r="G11" s="68">
        <f t="shared" ref="G11" si="6">IF(E11&lt;1000000,F11*1.5%,F11*1%)</f>
        <v>0.09</v>
      </c>
      <c r="H11" s="11">
        <f t="shared" ref="H11" si="7">G11*E11</f>
        <v>360000</v>
      </c>
      <c r="I11" s="11"/>
      <c r="J11" s="11">
        <v>4000000</v>
      </c>
      <c r="K11" s="11"/>
      <c r="L11" s="11"/>
      <c r="M11" s="54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44"/>
      <c r="AC11" s="144"/>
      <c r="AD11" s="144"/>
      <c r="AE11" s="144"/>
      <c r="AF11" s="144"/>
      <c r="AG11" s="145"/>
    </row>
    <row r="12" spans="1:33" x14ac:dyDescent="0.35">
      <c r="A12" s="9">
        <v>13</v>
      </c>
      <c r="B12" s="10" t="str">
        <f>recouvrement_dette!B12</f>
        <v>action11</v>
      </c>
      <c r="C12" s="57" t="s">
        <v>211</v>
      </c>
      <c r="D12" s="57" t="s">
        <v>237</v>
      </c>
      <c r="E12" s="11">
        <v>4000000</v>
      </c>
      <c r="F12" s="11">
        <v>12</v>
      </c>
      <c r="G12" s="68">
        <f t="shared" ref="G12" si="8">IF(E12&lt;1000000,F12*1.5%,F12*1%)</f>
        <v>0.12</v>
      </c>
      <c r="H12" s="11">
        <f t="shared" ref="H12" si="9">G12*E12</f>
        <v>480000</v>
      </c>
      <c r="I12" s="11"/>
      <c r="J12" s="11">
        <v>4000000</v>
      </c>
      <c r="K12" s="11"/>
      <c r="L12" s="11"/>
      <c r="M12" s="54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44"/>
      <c r="AC12" s="144"/>
      <c r="AD12" s="144"/>
      <c r="AE12" s="144"/>
      <c r="AF12" s="144"/>
      <c r="AG12" s="145"/>
    </row>
    <row r="13" spans="1:33" x14ac:dyDescent="0.35">
      <c r="A13" s="9">
        <v>14</v>
      </c>
      <c r="B13" s="10" t="str">
        <f>recouvrement_dette!B13</f>
        <v>action12</v>
      </c>
      <c r="C13" s="57" t="s">
        <v>211</v>
      </c>
      <c r="D13" s="57" t="s">
        <v>212</v>
      </c>
      <c r="E13" s="11">
        <v>1500000</v>
      </c>
      <c r="F13" s="11">
        <v>10</v>
      </c>
      <c r="G13" s="68">
        <f t="shared" ref="G13" si="10">IF(E13&lt;1000000,F13*1.5%,F13*1%)</f>
        <v>0.1</v>
      </c>
      <c r="H13" s="11">
        <f t="shared" ref="H13" si="11">G13*E13</f>
        <v>150000</v>
      </c>
      <c r="I13" s="11"/>
      <c r="J13" s="11">
        <v>1500000</v>
      </c>
      <c r="K13" s="11"/>
      <c r="L13" s="11"/>
      <c r="M13" s="54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44"/>
      <c r="AC13" s="144"/>
      <c r="AD13" s="144"/>
      <c r="AE13" s="144"/>
      <c r="AF13" s="144"/>
      <c r="AG13" s="145"/>
    </row>
    <row r="14" spans="1:33" x14ac:dyDescent="0.35">
      <c r="A14" s="9">
        <v>14</v>
      </c>
      <c r="B14" s="10" t="str">
        <f>recouvrement_dette!B14</f>
        <v>action13</v>
      </c>
      <c r="C14" s="57" t="s">
        <v>211</v>
      </c>
      <c r="D14" s="57" t="s">
        <v>237</v>
      </c>
      <c r="E14" s="11">
        <v>3000000</v>
      </c>
      <c r="F14" s="11">
        <v>12</v>
      </c>
      <c r="G14" s="68">
        <f t="shared" ref="G14" si="12">IF(E14&lt;1000000,F14*1.5%,F14*1%)</f>
        <v>0.12</v>
      </c>
      <c r="H14" s="11">
        <f t="shared" ref="H14" si="13">G14*E14</f>
        <v>360000</v>
      </c>
      <c r="I14" s="11"/>
      <c r="J14" s="11">
        <v>3000000</v>
      </c>
      <c r="K14" s="11"/>
      <c r="L14" s="11"/>
      <c r="M14" s="54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44"/>
      <c r="AC14" s="144"/>
      <c r="AD14" s="144"/>
      <c r="AE14" s="144"/>
      <c r="AF14" s="144"/>
      <c r="AG14" s="145"/>
    </row>
    <row r="15" spans="1:33" x14ac:dyDescent="0.35">
      <c r="A15" s="9">
        <v>14</v>
      </c>
      <c r="B15" s="10" t="str">
        <f>recouvrement_dette!B15</f>
        <v>action14</v>
      </c>
      <c r="C15" s="10" t="str">
        <f>recouvrement_dette!C15</f>
        <v>Octobre 2025</v>
      </c>
      <c r="D15" s="10" t="str">
        <f>recouvrement_dette!D15</f>
        <v>10 Mai. 2027</v>
      </c>
      <c r="E15" s="10">
        <f>recouvrement_dette!E15</f>
        <v>3000000</v>
      </c>
      <c r="F15" s="10">
        <f>recouvrement_dette!F15</f>
        <v>18</v>
      </c>
      <c r="G15" s="68">
        <f t="shared" ref="G15" si="14">IF(E15&lt;1000000,F15*1.5%,F15*1%)</f>
        <v>0.18</v>
      </c>
      <c r="H15" s="11">
        <f t="shared" ref="H15" si="15">G15*E15</f>
        <v>540000</v>
      </c>
      <c r="I15" s="11"/>
      <c r="J15" s="11"/>
      <c r="K15" s="11"/>
      <c r="L15" s="11">
        <v>3000000</v>
      </c>
      <c r="M15" s="54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44"/>
      <c r="AC15" s="144"/>
      <c r="AD15" s="144"/>
      <c r="AE15" s="144"/>
      <c r="AF15" s="144"/>
      <c r="AG15" s="145"/>
    </row>
    <row r="16" spans="1:33" x14ac:dyDescent="0.35">
      <c r="A16" s="9">
        <v>14</v>
      </c>
      <c r="B16" s="10" t="str">
        <f>recouvrement_dette!B16</f>
        <v>action15</v>
      </c>
      <c r="C16" s="10" t="str">
        <f>recouvrement_dette!C16</f>
        <v>Octobre 2025</v>
      </c>
      <c r="D16" s="10" t="str">
        <f>recouvrement_dette!D16</f>
        <v>10 Sept. 2026</v>
      </c>
      <c r="E16" s="10">
        <f>recouvrement_dette!E16</f>
        <v>2500000</v>
      </c>
      <c r="F16" s="10">
        <f>recouvrement_dette!F16</f>
        <v>10</v>
      </c>
      <c r="G16" s="68">
        <f t="shared" ref="G16" si="16">IF(E16&lt;1000000,F16*1.5%,F16*1%)</f>
        <v>0.1</v>
      </c>
      <c r="H16" s="11">
        <f t="shared" ref="H16" si="17">G16*E16</f>
        <v>250000</v>
      </c>
      <c r="I16" s="11"/>
      <c r="J16" s="11"/>
      <c r="K16" s="11"/>
      <c r="L16" s="11">
        <v>2500000</v>
      </c>
      <c r="M16" s="54"/>
      <c r="N16" s="11"/>
      <c r="O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44"/>
      <c r="AC16" s="144"/>
      <c r="AD16" s="144"/>
      <c r="AE16" s="144"/>
      <c r="AF16" s="144"/>
      <c r="AG16" s="145"/>
    </row>
    <row r="17" spans="1:33" x14ac:dyDescent="0.35">
      <c r="A17" s="9">
        <v>14</v>
      </c>
      <c r="B17" s="10" t="str">
        <f>recouvrement_dette!B17</f>
        <v>action16</v>
      </c>
      <c r="C17" s="10" t="str">
        <f>recouvrement_dette!C17</f>
        <v>Octobre 2025</v>
      </c>
      <c r="D17" s="10" t="str">
        <f>recouvrement_dette!D17</f>
        <v>10 Fév. 2026</v>
      </c>
      <c r="E17" s="10">
        <f>recouvrement_dette!E17</f>
        <v>1000000</v>
      </c>
      <c r="F17" s="10">
        <f>recouvrement_dette!F17</f>
        <v>3</v>
      </c>
      <c r="G17" s="68">
        <f t="shared" ref="G17" si="18">IF(E17&lt;1000000,F17*1.5%,F17*1%)</f>
        <v>0.03</v>
      </c>
      <c r="H17" s="11">
        <f t="shared" ref="H17" si="19">G17*E17</f>
        <v>30000</v>
      </c>
      <c r="I17" s="11"/>
      <c r="J17" s="11"/>
      <c r="K17" s="11"/>
      <c r="L17" s="11">
        <v>1000000</v>
      </c>
      <c r="M17" s="54"/>
      <c r="N17" s="11"/>
      <c r="O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44"/>
      <c r="AC17" s="144"/>
      <c r="AD17" s="144"/>
      <c r="AE17" s="144"/>
      <c r="AF17" s="144"/>
      <c r="AG17" s="145"/>
    </row>
    <row r="18" spans="1:33" x14ac:dyDescent="0.35">
      <c r="A18" s="9">
        <v>14</v>
      </c>
      <c r="B18" s="10" t="str">
        <f>recouvrement_dette!B18</f>
        <v>action17</v>
      </c>
      <c r="C18" s="57" t="s">
        <v>249</v>
      </c>
      <c r="D18" s="57" t="s">
        <v>250</v>
      </c>
      <c r="E18" s="11">
        <v>1570000</v>
      </c>
      <c r="F18" s="11">
        <v>12</v>
      </c>
      <c r="G18" s="68">
        <f t="shared" ref="G18" si="20">IF(E18&lt;1000000,F18*1.5%,F18*1%)</f>
        <v>0.12</v>
      </c>
      <c r="H18" s="11">
        <f t="shared" ref="H18" si="21">G18*E18</f>
        <v>188400</v>
      </c>
      <c r="I18" s="11"/>
      <c r="J18" s="11"/>
      <c r="K18" s="11"/>
      <c r="L18" s="11"/>
      <c r="M18" s="54">
        <v>1500000</v>
      </c>
      <c r="N18" s="11"/>
      <c r="O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44"/>
      <c r="AC18" s="144"/>
      <c r="AD18" s="144"/>
      <c r="AE18" s="144"/>
      <c r="AF18" s="144"/>
      <c r="AG18" s="145"/>
    </row>
    <row r="19" spans="1:33" x14ac:dyDescent="0.35">
      <c r="A19" s="9">
        <v>14</v>
      </c>
      <c r="B19" s="10" t="str">
        <f>recouvrement_dette!B19</f>
        <v>action18</v>
      </c>
      <c r="C19" s="57" t="s">
        <v>249</v>
      </c>
      <c r="D19" s="57" t="s">
        <v>251</v>
      </c>
      <c r="E19" s="11">
        <v>3100000</v>
      </c>
      <c r="F19" s="11">
        <v>3</v>
      </c>
      <c r="G19" s="68">
        <f t="shared" ref="G19" si="22">IF(E19&lt;1000000,F19*1.5%,F19*1%)</f>
        <v>0.03</v>
      </c>
      <c r="H19" s="11">
        <f t="shared" ref="H19" si="23">G19*E19</f>
        <v>93000</v>
      </c>
      <c r="I19" s="11"/>
      <c r="J19" s="11"/>
      <c r="K19" s="11"/>
      <c r="L19" s="11"/>
      <c r="M19" s="54">
        <v>3100000</v>
      </c>
      <c r="N19" s="11"/>
      <c r="O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44"/>
      <c r="AC19" s="144"/>
      <c r="AD19" s="144"/>
      <c r="AE19" s="144"/>
      <c r="AF19" s="144"/>
      <c r="AG19" s="145"/>
    </row>
    <row r="20" spans="1:33" x14ac:dyDescent="0.35">
      <c r="A20" s="9">
        <v>14</v>
      </c>
      <c r="B20" s="10" t="str">
        <f>recouvrement_dette!B20</f>
        <v>action19</v>
      </c>
      <c r="C20" s="57" t="s">
        <v>253</v>
      </c>
      <c r="D20" s="57" t="s">
        <v>254</v>
      </c>
      <c r="E20" s="11">
        <v>2500000</v>
      </c>
      <c r="F20" s="11">
        <v>4</v>
      </c>
      <c r="G20" s="68">
        <f t="shared" ref="G20" si="24">IF(E20&lt;1000000,F20*1.5%,F20*1%)</f>
        <v>0.04</v>
      </c>
      <c r="H20" s="11">
        <f t="shared" ref="H20" si="25">G20*E20</f>
        <v>100000</v>
      </c>
      <c r="I20" s="11"/>
      <c r="J20" s="11"/>
      <c r="K20" s="11"/>
      <c r="L20" s="11"/>
      <c r="M20" s="54"/>
      <c r="N20" s="11">
        <v>2500000</v>
      </c>
      <c r="O20" s="11"/>
      <c r="Q20" s="11"/>
      <c r="S20" s="11"/>
      <c r="T20" s="11"/>
      <c r="U20" s="11"/>
      <c r="V20" s="11"/>
      <c r="W20" s="11"/>
      <c r="X20" s="11"/>
      <c r="Y20" s="11"/>
      <c r="Z20" s="11"/>
      <c r="AA20" s="11"/>
      <c r="AB20" s="144"/>
      <c r="AC20" s="144"/>
      <c r="AD20" s="144"/>
      <c r="AE20" s="144"/>
      <c r="AF20" s="144"/>
      <c r="AG20" s="145"/>
    </row>
    <row r="21" spans="1:33" x14ac:dyDescent="0.35">
      <c r="A21" s="9">
        <v>14</v>
      </c>
      <c r="B21" s="10" t="str">
        <f>recouvrement_dette!B21</f>
        <v>action20</v>
      </c>
      <c r="C21" s="57" t="s">
        <v>257</v>
      </c>
      <c r="D21" s="57" t="s">
        <v>258</v>
      </c>
      <c r="E21" s="11">
        <v>3000000</v>
      </c>
      <c r="F21" s="11">
        <v>24</v>
      </c>
      <c r="G21" s="68">
        <f t="shared" ref="G21" si="26">IF(E21&lt;1000000,F21*1.5%,F21*1%)</f>
        <v>0.24</v>
      </c>
      <c r="H21" s="11">
        <f t="shared" ref="H21" si="27">G21*E21</f>
        <v>720000</v>
      </c>
      <c r="I21" s="11"/>
      <c r="J21" s="11"/>
      <c r="K21" s="11"/>
      <c r="L21" s="11"/>
      <c r="M21" s="54"/>
      <c r="N21" s="11"/>
      <c r="O21" s="11">
        <v>3000000</v>
      </c>
      <c r="Q21" s="11"/>
      <c r="T21" s="11"/>
      <c r="U21" s="11"/>
      <c r="V21" s="11"/>
      <c r="W21" s="11"/>
      <c r="X21" s="11"/>
      <c r="Y21" s="11"/>
      <c r="Z21" s="11"/>
      <c r="AA21" s="11"/>
      <c r="AB21" s="144"/>
      <c r="AC21" s="144"/>
      <c r="AD21" s="144"/>
      <c r="AE21" s="144"/>
      <c r="AF21" s="144"/>
      <c r="AG21" s="145"/>
    </row>
    <row r="22" spans="1:33" x14ac:dyDescent="0.35">
      <c r="A22" s="9">
        <v>14</v>
      </c>
      <c r="B22" s="10">
        <f>recouvrement_dette!B22</f>
        <v>0</v>
      </c>
      <c r="C22" s="57"/>
      <c r="D22" s="57"/>
      <c r="E22" s="11"/>
      <c r="F22" s="11"/>
      <c r="G22" s="68">
        <f t="shared" ref="G22" si="28">IF(E22&lt;1000000,F22*1.5%,F22*1%)</f>
        <v>0</v>
      </c>
      <c r="H22" s="11">
        <f t="shared" ref="H22" si="29">G22*E22</f>
        <v>0</v>
      </c>
      <c r="I22" s="11"/>
      <c r="J22" s="11"/>
      <c r="K22" s="11"/>
      <c r="L22" s="11"/>
      <c r="M22" s="54"/>
      <c r="N22" s="11"/>
      <c r="O22" s="11"/>
      <c r="Q22" s="11"/>
      <c r="T22" s="11"/>
      <c r="U22" s="11"/>
      <c r="V22" s="11"/>
      <c r="W22" s="11"/>
      <c r="X22" s="11"/>
      <c r="Y22" s="11"/>
      <c r="Z22" s="11"/>
      <c r="AA22" s="11"/>
      <c r="AB22" s="144"/>
      <c r="AC22" s="144"/>
      <c r="AD22" s="144"/>
      <c r="AE22" s="144"/>
      <c r="AF22" s="144"/>
      <c r="AG22" s="145"/>
    </row>
    <row r="23" spans="1:33" x14ac:dyDescent="0.35">
      <c r="A23" s="9">
        <v>14</v>
      </c>
      <c r="B23" s="10">
        <f>recouvrement_dette!B23</f>
        <v>0</v>
      </c>
      <c r="C23" s="57"/>
      <c r="D23" s="57"/>
      <c r="E23" s="11"/>
      <c r="F23" s="11"/>
      <c r="G23" s="68">
        <f t="shared" ref="G23" si="30">IF(E23&lt;1000000,F23*1.5%,F23*1%)</f>
        <v>0</v>
      </c>
      <c r="H23" s="11">
        <f t="shared" ref="H23" si="31">G23*E23</f>
        <v>0</v>
      </c>
      <c r="I23" s="11"/>
      <c r="J23" s="11"/>
      <c r="K23" s="11"/>
      <c r="L23" s="11"/>
      <c r="M23" s="54"/>
      <c r="N23" s="11"/>
      <c r="O23" s="11"/>
      <c r="Q23" s="11"/>
      <c r="U23" s="11"/>
      <c r="V23" s="11"/>
      <c r="W23" s="11"/>
      <c r="X23" s="11"/>
      <c r="Y23" s="11"/>
      <c r="Z23" s="11"/>
      <c r="AA23" s="11"/>
      <c r="AB23" s="208"/>
      <c r="AC23" s="208"/>
      <c r="AD23" s="208"/>
      <c r="AE23" s="208"/>
      <c r="AF23" s="208"/>
      <c r="AG23" s="209"/>
    </row>
    <row r="24" spans="1:33" x14ac:dyDescent="0.35">
      <c r="A24" s="9">
        <v>14</v>
      </c>
      <c r="B24" s="10">
        <f>recouvrement_dette!B24</f>
        <v>0</v>
      </c>
      <c r="C24" s="57"/>
      <c r="D24" s="57"/>
      <c r="E24" s="11"/>
      <c r="F24" s="11"/>
      <c r="G24" s="68">
        <f t="shared" ref="G24" si="32">IF(E24&lt;1000000,F24*1.5%,F24*1%)</f>
        <v>0</v>
      </c>
      <c r="H24" s="11">
        <f t="shared" ref="H24" si="33">G24*E24</f>
        <v>0</v>
      </c>
      <c r="I24" s="11"/>
      <c r="J24" s="11"/>
      <c r="K24" s="11"/>
      <c r="L24" s="11"/>
      <c r="M24" s="54"/>
      <c r="N24" s="11"/>
      <c r="O24" s="11"/>
      <c r="Q24" s="11"/>
      <c r="U24" s="11"/>
      <c r="V24" s="11"/>
      <c r="W24" s="11"/>
      <c r="X24" s="11"/>
      <c r="Y24" s="11"/>
      <c r="Z24" s="11"/>
      <c r="AA24" s="11"/>
      <c r="AB24" s="208"/>
      <c r="AC24" s="208"/>
      <c r="AD24" s="208"/>
      <c r="AE24" s="208"/>
      <c r="AF24" s="208"/>
      <c r="AG24" s="209"/>
    </row>
    <row r="25" spans="1:33" x14ac:dyDescent="0.35">
      <c r="A25" s="9">
        <v>14</v>
      </c>
      <c r="B25" s="10">
        <f>recouvrement_dette!B25</f>
        <v>0</v>
      </c>
      <c r="C25" s="57"/>
      <c r="D25" s="57"/>
      <c r="E25" s="11"/>
      <c r="F25" s="11"/>
      <c r="G25" s="68">
        <f t="shared" ref="G25" si="34">IF(E25&lt;1000000,F25*1.5%,F25*1%)</f>
        <v>0</v>
      </c>
      <c r="H25" s="11">
        <f t="shared" ref="H25" si="35">G25*E25</f>
        <v>0</v>
      </c>
      <c r="I25" s="11"/>
      <c r="J25" s="11"/>
      <c r="K25" s="11"/>
      <c r="L25" s="11"/>
      <c r="M25" s="54"/>
      <c r="N25" s="11"/>
      <c r="O25" s="11"/>
      <c r="Q25" s="11"/>
      <c r="V25" s="11"/>
      <c r="W25" s="11"/>
      <c r="X25" s="11"/>
      <c r="Y25" s="11"/>
      <c r="Z25" s="11"/>
      <c r="AA25" s="11"/>
      <c r="AB25" s="208"/>
      <c r="AC25" s="208"/>
      <c r="AD25" s="208"/>
      <c r="AE25" s="208"/>
      <c r="AF25" s="208"/>
      <c r="AG25" s="209"/>
    </row>
    <row r="26" spans="1:33" x14ac:dyDescent="0.35">
      <c r="A26" s="9">
        <v>14</v>
      </c>
      <c r="B26" s="10">
        <f>recouvrement_dette!B26</f>
        <v>0</v>
      </c>
      <c r="C26" s="57"/>
      <c r="D26" s="57"/>
      <c r="E26" s="11"/>
      <c r="F26" s="11"/>
      <c r="G26" s="68">
        <f t="shared" ref="G26" si="36">IF(E26&lt;1000000,F26*1.5%,F26*1%)</f>
        <v>0</v>
      </c>
      <c r="H26" s="11">
        <f t="shared" ref="H26" si="37">G26*E26</f>
        <v>0</v>
      </c>
      <c r="I26" s="11"/>
      <c r="J26" s="11"/>
      <c r="K26" s="11"/>
      <c r="L26" s="11"/>
      <c r="M26" s="54"/>
      <c r="N26" s="11"/>
      <c r="O26" s="11"/>
      <c r="Q26" s="11"/>
      <c r="V26" s="11"/>
      <c r="W26" s="11"/>
      <c r="X26" s="11"/>
      <c r="Y26" s="11"/>
      <c r="Z26" s="11"/>
      <c r="AA26" s="11"/>
      <c r="AB26" s="208"/>
      <c r="AC26" s="208"/>
      <c r="AD26" s="208"/>
      <c r="AE26" s="208"/>
      <c r="AF26" s="208"/>
      <c r="AG26" s="209"/>
    </row>
    <row r="27" spans="1:33" x14ac:dyDescent="0.35">
      <c r="A27" s="9">
        <v>14</v>
      </c>
      <c r="B27" s="10">
        <f>recouvrement_dette!B27</f>
        <v>0</v>
      </c>
      <c r="C27" s="57"/>
      <c r="D27" s="57"/>
      <c r="E27" s="11"/>
      <c r="F27" s="11"/>
      <c r="G27" s="68">
        <f t="shared" ref="G27:G31" si="38">IF(E27&lt;1000000,F27*1.5%,F27*1%)</f>
        <v>0</v>
      </c>
      <c r="H27" s="11">
        <f t="shared" ref="H27:H31" si="39">G27*E27</f>
        <v>0</v>
      </c>
      <c r="I27" s="11"/>
      <c r="J27" s="11"/>
      <c r="K27" s="11"/>
      <c r="L27" s="11"/>
      <c r="M27" s="54"/>
      <c r="N27" s="11"/>
      <c r="O27" s="11"/>
      <c r="Q27" s="11"/>
      <c r="V27" s="11"/>
      <c r="W27" s="11"/>
      <c r="X27" s="11"/>
      <c r="Y27" s="11"/>
      <c r="Z27" s="11"/>
      <c r="AA27" s="11"/>
      <c r="AB27" s="208"/>
      <c r="AC27" s="208"/>
      <c r="AD27" s="208"/>
      <c r="AE27" s="208"/>
      <c r="AF27" s="208"/>
      <c r="AG27" s="209"/>
    </row>
    <row r="28" spans="1:33" x14ac:dyDescent="0.35">
      <c r="A28" s="193"/>
      <c r="B28" s="10">
        <f>recouvrement_dette!B28</f>
        <v>0</v>
      </c>
      <c r="C28" s="57"/>
      <c r="D28" s="57"/>
      <c r="E28" s="194"/>
      <c r="F28" s="194"/>
      <c r="G28" s="195">
        <f t="shared" si="38"/>
        <v>0</v>
      </c>
      <c r="H28" s="194">
        <f t="shared" si="39"/>
        <v>0</v>
      </c>
      <c r="I28" s="194"/>
      <c r="J28" s="194"/>
      <c r="K28" s="194"/>
      <c r="L28" s="194"/>
      <c r="M28" s="196"/>
      <c r="N28" s="194"/>
      <c r="O28" s="194"/>
      <c r="Q28" s="194"/>
      <c r="R28" s="194"/>
      <c r="S28" s="194"/>
      <c r="T28" s="194"/>
      <c r="U28" s="194"/>
      <c r="V28" s="194"/>
      <c r="W28" s="194"/>
      <c r="X28" s="11"/>
      <c r="Y28" s="194"/>
      <c r="Z28" s="194"/>
      <c r="AA28" s="194"/>
      <c r="AB28" s="208"/>
      <c r="AC28" s="208"/>
      <c r="AD28" s="208"/>
      <c r="AE28" s="208"/>
      <c r="AF28" s="208"/>
      <c r="AG28" s="209"/>
    </row>
    <row r="29" spans="1:33" x14ac:dyDescent="0.35">
      <c r="A29" s="9">
        <v>9</v>
      </c>
      <c r="B29" s="10">
        <f>recouvrement_dette!B29</f>
        <v>0</v>
      </c>
      <c r="C29" s="57"/>
      <c r="D29" s="57"/>
      <c r="E29" s="11"/>
      <c r="F29" s="11"/>
      <c r="G29" s="68">
        <f t="shared" si="38"/>
        <v>0</v>
      </c>
      <c r="H29" s="11">
        <f t="shared" si="39"/>
        <v>0</v>
      </c>
      <c r="I29" s="11"/>
      <c r="J29" s="11"/>
      <c r="K29" s="11"/>
      <c r="L29" s="11"/>
      <c r="M29" s="54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208"/>
      <c r="AC29" s="208"/>
      <c r="AD29" s="208"/>
      <c r="AE29" s="208"/>
      <c r="AF29" s="208"/>
      <c r="AG29" s="209"/>
    </row>
    <row r="30" spans="1:33" x14ac:dyDescent="0.35">
      <c r="A30" s="9">
        <v>14</v>
      </c>
      <c r="B30" s="10">
        <f>recouvrement_dette!B30</f>
        <v>0</v>
      </c>
      <c r="C30" s="57"/>
      <c r="D30" s="57"/>
      <c r="E30" s="11"/>
      <c r="F30" s="11"/>
      <c r="G30" s="68">
        <f t="shared" si="38"/>
        <v>0</v>
      </c>
      <c r="H30" s="11">
        <f t="shared" si="39"/>
        <v>0</v>
      </c>
      <c r="I30" s="11"/>
      <c r="J30" s="11"/>
      <c r="K30" s="11"/>
      <c r="L30" s="11"/>
      <c r="M30" s="54"/>
      <c r="N30" s="11"/>
      <c r="O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208"/>
      <c r="AC30" s="208"/>
      <c r="AD30" s="208"/>
      <c r="AE30" s="208"/>
      <c r="AF30" s="208"/>
      <c r="AG30" s="209"/>
    </row>
    <row r="31" spans="1:33" x14ac:dyDescent="0.35">
      <c r="A31" s="9">
        <v>14</v>
      </c>
      <c r="B31" s="10">
        <f>recouvrement_dette!B31</f>
        <v>0</v>
      </c>
      <c r="C31" s="57"/>
      <c r="D31" s="57"/>
      <c r="E31" s="11"/>
      <c r="F31" s="11"/>
      <c r="G31" s="68">
        <f t="shared" si="38"/>
        <v>0</v>
      </c>
      <c r="H31" s="11">
        <f t="shared" si="39"/>
        <v>0</v>
      </c>
      <c r="I31" s="11"/>
      <c r="J31" s="11"/>
      <c r="K31" s="11"/>
      <c r="L31" s="11"/>
      <c r="M31" s="54"/>
      <c r="N31" s="11"/>
      <c r="O31" s="11"/>
      <c r="Q31" s="11"/>
      <c r="T31" s="11"/>
      <c r="U31" s="11"/>
      <c r="V31" s="11"/>
      <c r="W31" s="11"/>
      <c r="X31" s="11"/>
      <c r="Y31" s="11"/>
      <c r="Z31" s="11"/>
      <c r="AA31" s="11"/>
      <c r="AB31" s="208"/>
      <c r="AC31" s="208"/>
      <c r="AD31" s="208"/>
      <c r="AE31" s="208"/>
      <c r="AF31" s="208"/>
      <c r="AG31" s="209"/>
    </row>
    <row r="32" spans="1:33" x14ac:dyDescent="0.35">
      <c r="A32" s="9">
        <v>14</v>
      </c>
      <c r="B32" s="10">
        <f>recouvrement_dette!B32</f>
        <v>0</v>
      </c>
      <c r="C32" s="57"/>
      <c r="D32" s="57"/>
      <c r="E32" s="11"/>
      <c r="F32" s="11"/>
      <c r="G32" s="68">
        <f t="shared" ref="G32" si="40">IF(E32&lt;1000000,F32*1.5%,F32*1%)</f>
        <v>0</v>
      </c>
      <c r="H32" s="11">
        <f t="shared" ref="H32" si="41">G32*E32</f>
        <v>0</v>
      </c>
      <c r="I32" s="11"/>
      <c r="J32" s="11"/>
      <c r="K32" s="11"/>
      <c r="L32" s="11"/>
      <c r="M32" s="54"/>
      <c r="N32" s="11"/>
      <c r="O32" s="11"/>
      <c r="Q32" s="11"/>
      <c r="T32" s="11"/>
      <c r="U32" s="11"/>
      <c r="V32" s="11"/>
      <c r="W32" s="11"/>
      <c r="X32" s="11"/>
      <c r="Z32" s="11"/>
      <c r="AA32" s="11"/>
      <c r="AB32" s="208"/>
      <c r="AC32" s="208"/>
      <c r="AD32" s="208"/>
      <c r="AE32" s="208"/>
      <c r="AF32" s="208"/>
      <c r="AG32" s="209"/>
    </row>
    <row r="33" spans="1:33" x14ac:dyDescent="0.35">
      <c r="A33" s="9">
        <v>14</v>
      </c>
      <c r="B33" s="10">
        <f>recouvrement_dette!B33</f>
        <v>0</v>
      </c>
      <c r="C33" s="57"/>
      <c r="D33" s="57"/>
      <c r="E33" s="11"/>
      <c r="F33" s="11"/>
      <c r="G33" s="68">
        <f t="shared" ref="G33" si="42">IF(E33&lt;1000000,F33*1.5%,F33*1%)</f>
        <v>0</v>
      </c>
      <c r="H33" s="11">
        <f t="shared" ref="H33" si="43">G33*E33</f>
        <v>0</v>
      </c>
      <c r="I33" s="11"/>
      <c r="J33" s="11"/>
      <c r="K33" s="11"/>
      <c r="L33" s="11"/>
      <c r="M33" s="54"/>
      <c r="N33" s="11"/>
      <c r="O33" s="11"/>
      <c r="Q33" s="11"/>
      <c r="T33" s="11"/>
      <c r="U33" s="11"/>
      <c r="V33" s="11"/>
      <c r="W33" s="11"/>
      <c r="X33" s="11"/>
      <c r="Z33" s="11"/>
      <c r="AA33" s="11"/>
      <c r="AB33" s="208"/>
      <c r="AC33" s="208"/>
      <c r="AD33" s="208"/>
      <c r="AE33" s="208"/>
      <c r="AF33" s="208"/>
      <c r="AG33" s="209"/>
    </row>
    <row r="34" spans="1:33" x14ac:dyDescent="0.35">
      <c r="A34" s="9">
        <v>14</v>
      </c>
      <c r="B34" s="10">
        <f>recouvrement_dette!B34</f>
        <v>0</v>
      </c>
      <c r="C34" s="57"/>
      <c r="D34" s="57"/>
      <c r="E34" s="11"/>
      <c r="F34" s="11"/>
      <c r="G34" s="68">
        <f t="shared" ref="G34" si="44">IF(E34&lt;1000000,F34*1.5%,F34*1%)</f>
        <v>0</v>
      </c>
      <c r="H34" s="11">
        <f t="shared" ref="H34" si="45">G34*E34</f>
        <v>0</v>
      </c>
      <c r="I34" s="11"/>
      <c r="J34" s="11"/>
      <c r="K34" s="11"/>
      <c r="L34" s="11"/>
      <c r="M34" s="54"/>
      <c r="N34" s="11"/>
      <c r="O34" s="11"/>
      <c r="Q34" s="11"/>
      <c r="T34" s="11"/>
      <c r="U34" s="11"/>
      <c r="V34" s="11"/>
      <c r="W34" s="11"/>
      <c r="X34" s="11"/>
      <c r="Z34" s="11"/>
      <c r="AA34" s="11"/>
      <c r="AB34" s="208"/>
      <c r="AC34" s="208"/>
      <c r="AD34" s="208"/>
      <c r="AE34" s="208"/>
      <c r="AF34" s="208"/>
      <c r="AG34" s="209"/>
    </row>
    <row r="35" spans="1:33" x14ac:dyDescent="0.35">
      <c r="A35" s="9">
        <v>14</v>
      </c>
      <c r="B35" s="10">
        <f>recouvrement_dette!B35</f>
        <v>0</v>
      </c>
      <c r="C35" s="57"/>
      <c r="D35" s="57"/>
      <c r="E35" s="11"/>
      <c r="F35" s="11"/>
      <c r="G35" s="68">
        <f t="shared" ref="G35" si="46">IF(E35&lt;1000000,F35*1.5%,F35*1%)</f>
        <v>0</v>
      </c>
      <c r="H35" s="11">
        <f t="shared" ref="H35" si="47">G35*E35</f>
        <v>0</v>
      </c>
      <c r="I35" s="11"/>
      <c r="J35" s="11"/>
      <c r="K35" s="11"/>
      <c r="L35" s="11"/>
      <c r="M35" s="54"/>
      <c r="N35" s="11"/>
      <c r="O35" s="11"/>
      <c r="Q35" s="11"/>
      <c r="T35" s="11"/>
      <c r="U35" s="11"/>
      <c r="V35" s="11"/>
      <c r="W35" s="11"/>
      <c r="X35" s="11"/>
      <c r="Z35" s="11"/>
      <c r="AA35" s="11"/>
      <c r="AB35" s="208"/>
      <c r="AC35" s="208"/>
      <c r="AD35" s="208"/>
      <c r="AE35" s="208"/>
      <c r="AF35" s="208"/>
      <c r="AG35" s="209"/>
    </row>
    <row r="36" spans="1:33" x14ac:dyDescent="0.35">
      <c r="A36" s="9">
        <v>14</v>
      </c>
      <c r="B36" s="10">
        <f>recouvrement_dette!B36</f>
        <v>0</v>
      </c>
      <c r="C36" s="57"/>
      <c r="D36" s="57"/>
      <c r="E36" s="11"/>
      <c r="F36" s="11"/>
      <c r="G36" s="68">
        <f t="shared" ref="G36" si="48">IF(E36&lt;1000000,F36*1.5%,F36*1%)</f>
        <v>0</v>
      </c>
      <c r="H36" s="11">
        <f t="shared" ref="H36" si="49">G36*E36</f>
        <v>0</v>
      </c>
      <c r="I36" s="11"/>
      <c r="J36" s="11"/>
      <c r="K36" s="11"/>
      <c r="L36" s="11"/>
      <c r="M36" s="54"/>
      <c r="N36" s="11"/>
      <c r="O36" s="11"/>
      <c r="Q36" s="11"/>
      <c r="T36" s="11"/>
      <c r="U36" s="11"/>
      <c r="V36" s="11"/>
      <c r="W36" s="11"/>
      <c r="X36" s="11"/>
      <c r="Z36" s="11"/>
      <c r="AA36" s="11"/>
      <c r="AC36" s="208"/>
      <c r="AD36" s="208"/>
      <c r="AE36" s="208"/>
      <c r="AF36" s="208"/>
      <c r="AG36" s="209"/>
    </row>
    <row r="37" spans="1:33" x14ac:dyDescent="0.35">
      <c r="A37" s="9">
        <v>14</v>
      </c>
      <c r="B37" s="10">
        <f>recouvrement_dette!B37</f>
        <v>0</v>
      </c>
      <c r="C37" s="57"/>
      <c r="D37" s="57"/>
      <c r="E37" s="11"/>
      <c r="F37" s="11"/>
      <c r="G37" s="68">
        <f t="shared" ref="G37" si="50">IF(E37&lt;1000000,F37*1.5%,F37*1%)</f>
        <v>0</v>
      </c>
      <c r="H37" s="11">
        <f t="shared" ref="H37" si="51">G37*E37</f>
        <v>0</v>
      </c>
      <c r="I37" s="11"/>
      <c r="J37" s="11"/>
      <c r="K37" s="11"/>
      <c r="L37" s="11"/>
      <c r="M37" s="54"/>
      <c r="N37" s="11"/>
      <c r="O37" s="11"/>
      <c r="Q37" s="11"/>
      <c r="T37" s="11"/>
      <c r="U37" s="11"/>
      <c r="V37" s="11"/>
      <c r="W37" s="11"/>
      <c r="X37" s="11"/>
      <c r="Z37" s="11"/>
      <c r="AA37" s="11"/>
      <c r="AC37" s="208"/>
      <c r="AD37" s="208"/>
      <c r="AE37" s="208"/>
      <c r="AF37" s="208"/>
      <c r="AG37" s="209"/>
    </row>
    <row r="38" spans="1:33" x14ac:dyDescent="0.35">
      <c r="A38" s="9">
        <v>14</v>
      </c>
      <c r="B38" s="10">
        <f>recouvrement_dette!B38</f>
        <v>0</v>
      </c>
      <c r="C38" s="57"/>
      <c r="D38" s="57"/>
      <c r="E38" s="11"/>
      <c r="F38" s="11"/>
      <c r="G38" s="68">
        <f t="shared" ref="G38" si="52">IF(E38&lt;1000000,F38*1.5%,F38*1%)</f>
        <v>0</v>
      </c>
      <c r="H38" s="11">
        <f t="shared" ref="H38" si="53">G38*E38</f>
        <v>0</v>
      </c>
      <c r="I38" s="11"/>
      <c r="J38" s="11"/>
      <c r="K38" s="11"/>
      <c r="L38" s="11"/>
      <c r="M38" s="54"/>
      <c r="N38" s="11"/>
      <c r="O38" s="11"/>
      <c r="Q38" s="11"/>
      <c r="T38" s="11"/>
      <c r="U38" s="11"/>
      <c r="V38" s="11"/>
      <c r="W38" s="11"/>
      <c r="X38" s="11"/>
      <c r="Z38" s="11"/>
      <c r="AA38" s="11"/>
      <c r="AC38" s="208"/>
      <c r="AD38" s="208"/>
      <c r="AE38" s="208"/>
      <c r="AF38" s="208"/>
      <c r="AG38" s="209"/>
    </row>
    <row r="39" spans="1:33" x14ac:dyDescent="0.35">
      <c r="A39" s="9">
        <v>14</v>
      </c>
      <c r="B39" s="10">
        <f>recouvrement_dette!B39</f>
        <v>0</v>
      </c>
      <c r="C39" s="57"/>
      <c r="D39" s="57"/>
      <c r="E39" s="11"/>
      <c r="F39" s="11"/>
      <c r="G39" s="68">
        <f t="shared" ref="G39" si="54">IF(E39&lt;1000000,F39*1.5%,F39*1%)</f>
        <v>0</v>
      </c>
      <c r="H39" s="11">
        <f t="shared" ref="H39" si="55">G39*E39</f>
        <v>0</v>
      </c>
      <c r="I39" s="11"/>
      <c r="J39" s="11"/>
      <c r="K39" s="11"/>
      <c r="L39" s="11"/>
      <c r="M39" s="54"/>
      <c r="N39" s="11"/>
      <c r="O39" s="11"/>
      <c r="Q39" s="11"/>
      <c r="T39" s="11"/>
      <c r="U39" s="11"/>
      <c r="V39" s="11"/>
      <c r="W39" s="11"/>
      <c r="X39" s="11"/>
      <c r="Z39" s="11"/>
      <c r="AA39" s="11"/>
      <c r="AC39" s="208"/>
      <c r="AD39" s="208"/>
      <c r="AE39" s="208"/>
      <c r="AF39" s="208"/>
      <c r="AG39" s="209"/>
    </row>
    <row r="40" spans="1:33" s="7" customFormat="1" ht="18.5" thickBot="1" x14ac:dyDescent="0.45">
      <c r="A40" s="235" t="s">
        <v>23</v>
      </c>
      <c r="B40" s="236"/>
      <c r="C40" s="63">
        <f>SUM(C2:C4)</f>
        <v>0</v>
      </c>
      <c r="D40" s="63">
        <f>SUM(D2:D4)</f>
        <v>0</v>
      </c>
      <c r="E40" s="12"/>
      <c r="F40" s="12"/>
      <c r="G40" s="12"/>
      <c r="H40" s="12"/>
      <c r="I40" s="64">
        <f>SUM(I2:I39)</f>
        <v>0</v>
      </c>
      <c r="J40" s="64">
        <f t="shared" ref="J40:AG40" si="56">SUM(J2:J39)</f>
        <v>35400000</v>
      </c>
      <c r="K40" s="64">
        <f t="shared" si="56"/>
        <v>0</v>
      </c>
      <c r="L40" s="64">
        <f t="shared" si="56"/>
        <v>6500000</v>
      </c>
      <c r="M40" s="64">
        <f t="shared" si="56"/>
        <v>4600000</v>
      </c>
      <c r="N40" s="64">
        <f t="shared" si="56"/>
        <v>2500000</v>
      </c>
      <c r="O40" s="64">
        <f t="shared" si="56"/>
        <v>3000000</v>
      </c>
      <c r="P40" s="64">
        <f t="shared" si="56"/>
        <v>0</v>
      </c>
      <c r="Q40" s="64">
        <f t="shared" si="56"/>
        <v>0</v>
      </c>
      <c r="R40" s="64">
        <f t="shared" si="56"/>
        <v>0</v>
      </c>
      <c r="S40" s="64">
        <f t="shared" si="56"/>
        <v>0</v>
      </c>
      <c r="T40" s="64">
        <f t="shared" si="56"/>
        <v>0</v>
      </c>
      <c r="U40" s="64">
        <f t="shared" si="56"/>
        <v>0</v>
      </c>
      <c r="V40" s="64">
        <f t="shared" si="56"/>
        <v>0</v>
      </c>
      <c r="W40" s="64">
        <f t="shared" si="56"/>
        <v>0</v>
      </c>
      <c r="X40" s="64">
        <f t="shared" si="56"/>
        <v>0</v>
      </c>
      <c r="Y40" s="64">
        <f t="shared" si="56"/>
        <v>0</v>
      </c>
      <c r="Z40" s="64">
        <f t="shared" si="56"/>
        <v>0</v>
      </c>
      <c r="AA40" s="64">
        <f t="shared" si="56"/>
        <v>0</v>
      </c>
      <c r="AB40" s="64">
        <f t="shared" si="56"/>
        <v>0</v>
      </c>
      <c r="AC40" s="64">
        <f t="shared" si="56"/>
        <v>0</v>
      </c>
      <c r="AD40" s="64">
        <f t="shared" si="56"/>
        <v>0</v>
      </c>
      <c r="AE40" s="64">
        <f t="shared" si="56"/>
        <v>0</v>
      </c>
      <c r="AF40" s="64">
        <f t="shared" si="56"/>
        <v>0</v>
      </c>
      <c r="AG40" s="64">
        <f t="shared" si="56"/>
        <v>0</v>
      </c>
    </row>
    <row r="41" spans="1:33" x14ac:dyDescent="0.35">
      <c r="AD41" s="66"/>
    </row>
  </sheetData>
  <mergeCells count="1">
    <mergeCell ref="A40:B40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scale="44" orientation="landscape" r:id="rId1"/>
  <headerFooter>
    <oddHeader>&amp;C&amp;"-,Gras"&amp;20ETAT DETAILLE DE RECOUVREMENT DES DETTES DANS LA MICROFINANCE CAMDVI (Oct-2021-Juillet-2023)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1E260-1A7F-4B4F-A0AA-69EB2EAF13CC}">
  <sheetPr codeName="Feuil12">
    <tabColor rgb="FF00B0F0"/>
  </sheetPr>
  <dimension ref="A1:AG43"/>
  <sheetViews>
    <sheetView zoomScaleNormal="180" workbookViewId="0">
      <pane ySplit="1" topLeftCell="A13" activePane="bottomLeft" state="frozen"/>
      <selection activeCell="G15" sqref="G15"/>
      <selection pane="bottomLeft" activeCell="O21" sqref="O21"/>
    </sheetView>
  </sheetViews>
  <sheetFormatPr baseColWidth="10" defaultColWidth="11.453125" defaultRowHeight="17.5" x14ac:dyDescent="0.35"/>
  <cols>
    <col min="1" max="1" width="4.1796875" style="8" customWidth="1"/>
    <col min="2" max="2" width="34.81640625" style="8" customWidth="1"/>
    <col min="3" max="3" width="13.7265625" style="58" bestFit="1" customWidth="1"/>
    <col min="4" max="4" width="19.54296875" style="58" customWidth="1"/>
    <col min="5" max="9" width="13.7265625" style="8" customWidth="1"/>
    <col min="10" max="10" width="12.6328125" style="8" bestFit="1" customWidth="1"/>
    <col min="11" max="11" width="15.7265625" style="8" customWidth="1"/>
    <col min="12" max="13" width="12.6328125" style="8" customWidth="1"/>
    <col min="14" max="14" width="12" style="8" bestFit="1" customWidth="1"/>
    <col min="15" max="15" width="12.54296875" style="8" customWidth="1"/>
    <col min="16" max="19" width="11.54296875" style="8" bestFit="1" customWidth="1"/>
    <col min="20" max="20" width="13.54296875" style="8" customWidth="1"/>
    <col min="21" max="22" width="11.54296875" style="8" bestFit="1" customWidth="1"/>
    <col min="23" max="23" width="13.26953125" style="8" customWidth="1"/>
    <col min="24" max="24" width="11.54296875" style="8" bestFit="1" customWidth="1"/>
    <col min="25" max="25" width="12.54296875" style="8" customWidth="1"/>
    <col min="26" max="26" width="12" style="8" bestFit="1" customWidth="1"/>
    <col min="27" max="27" width="12.26953125" style="8" customWidth="1"/>
    <col min="28" max="28" width="12.6328125" style="8" customWidth="1"/>
    <col min="29" max="29" width="12.6328125" style="8" bestFit="1" customWidth="1"/>
    <col min="30" max="30" width="11.54296875" style="8" bestFit="1" customWidth="1"/>
    <col min="31" max="31" width="14.08984375" style="8" customWidth="1"/>
    <col min="32" max="16384" width="11.453125" style="8"/>
  </cols>
  <sheetData>
    <row r="1" spans="1:33" s="7" customFormat="1" ht="54" x14ac:dyDescent="0.4">
      <c r="A1" s="19" t="s">
        <v>20</v>
      </c>
      <c r="B1" s="20" t="s">
        <v>21</v>
      </c>
      <c r="C1" s="56" t="s">
        <v>79</v>
      </c>
      <c r="D1" s="56" t="s">
        <v>78</v>
      </c>
      <c r="E1" s="53" t="s">
        <v>75</v>
      </c>
      <c r="F1" s="53" t="s">
        <v>188</v>
      </c>
      <c r="G1" s="53" t="s">
        <v>89</v>
      </c>
      <c r="H1" s="53" t="s">
        <v>90</v>
      </c>
      <c r="I1" s="21">
        <v>45108</v>
      </c>
      <c r="J1" s="21">
        <v>45139</v>
      </c>
      <c r="K1" s="21">
        <v>45170</v>
      </c>
      <c r="L1" s="21">
        <v>45200</v>
      </c>
      <c r="M1" s="21">
        <v>45231</v>
      </c>
      <c r="N1" s="21">
        <v>45261</v>
      </c>
      <c r="O1" s="21">
        <v>45292</v>
      </c>
      <c r="P1" s="21">
        <v>45323</v>
      </c>
      <c r="Q1" s="21">
        <v>45352</v>
      </c>
      <c r="R1" s="21">
        <v>45383</v>
      </c>
      <c r="S1" s="21">
        <v>45413</v>
      </c>
      <c r="T1" s="21">
        <v>45444</v>
      </c>
      <c r="U1" s="21">
        <v>45474</v>
      </c>
      <c r="V1" s="21">
        <v>45505</v>
      </c>
      <c r="W1" s="21">
        <v>45536</v>
      </c>
      <c r="X1" s="21">
        <v>45566</v>
      </c>
      <c r="Y1" s="21">
        <v>45597</v>
      </c>
      <c r="Z1" s="21">
        <v>45627</v>
      </c>
      <c r="AA1" s="21">
        <v>45658</v>
      </c>
      <c r="AB1" s="21">
        <v>45689</v>
      </c>
      <c r="AC1" s="21">
        <v>45717</v>
      </c>
      <c r="AD1" s="21">
        <v>45748</v>
      </c>
      <c r="AE1" s="21">
        <v>45778</v>
      </c>
      <c r="AF1" s="21">
        <v>45809</v>
      </c>
      <c r="AG1" s="21">
        <v>45839</v>
      </c>
    </row>
    <row r="2" spans="1:33" x14ac:dyDescent="0.35">
      <c r="A2" s="9">
        <v>1</v>
      </c>
      <c r="B2" s="10" t="str">
        <f>+recouvrement_dette!B2</f>
        <v>action1</v>
      </c>
      <c r="C2" s="57"/>
      <c r="D2" s="57"/>
      <c r="E2" s="11">
        <v>75000</v>
      </c>
      <c r="F2" s="11"/>
      <c r="G2" s="67"/>
      <c r="H2" s="11">
        <v>38030</v>
      </c>
      <c r="I2" s="11"/>
      <c r="J2" s="11"/>
      <c r="K2" s="11"/>
      <c r="L2" s="11"/>
      <c r="M2" s="54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44"/>
      <c r="AC2" s="144"/>
      <c r="AD2" s="144"/>
      <c r="AE2" s="144"/>
      <c r="AF2" s="144"/>
      <c r="AG2" s="145"/>
    </row>
    <row r="3" spans="1:33" x14ac:dyDescent="0.35">
      <c r="A3" s="9">
        <v>2</v>
      </c>
      <c r="B3" s="10" t="str">
        <f>+recouvrement_dette!B3</f>
        <v>action2</v>
      </c>
      <c r="C3" s="57" t="s">
        <v>206</v>
      </c>
      <c r="D3" s="57" t="s">
        <v>210</v>
      </c>
      <c r="E3" s="11">
        <v>2400000</v>
      </c>
      <c r="F3" s="11">
        <v>20</v>
      </c>
      <c r="G3" s="68">
        <f t="shared" ref="G3:G14" si="0">IF(E3&lt;1000000,F3*1.5%,F3*1%)</f>
        <v>0.2</v>
      </c>
      <c r="H3" s="11">
        <f t="shared" ref="H3:H21" si="1">G3*E3</f>
        <v>480000</v>
      </c>
      <c r="I3" s="11"/>
      <c r="J3" s="11">
        <f>$E3*$G3</f>
        <v>480000</v>
      </c>
      <c r="K3" s="11"/>
      <c r="L3" s="11"/>
      <c r="M3" s="54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44"/>
      <c r="AC3" s="144"/>
      <c r="AD3" s="144"/>
      <c r="AE3" s="144"/>
      <c r="AF3" s="144"/>
      <c r="AG3" s="145"/>
    </row>
    <row r="4" spans="1:33" x14ac:dyDescent="0.35">
      <c r="A4" s="9">
        <v>3</v>
      </c>
      <c r="B4" s="10" t="str">
        <f>+recouvrement_dette!B4</f>
        <v>action3</v>
      </c>
      <c r="C4" s="57" t="s">
        <v>211</v>
      </c>
      <c r="D4" s="57" t="s">
        <v>212</v>
      </c>
      <c r="E4" s="11">
        <v>5500000</v>
      </c>
      <c r="F4" s="11">
        <v>10</v>
      </c>
      <c r="G4" s="68">
        <f t="shared" si="0"/>
        <v>0.1</v>
      </c>
      <c r="H4" s="11">
        <f t="shared" si="1"/>
        <v>550000</v>
      </c>
      <c r="I4" s="11"/>
      <c r="J4" s="11">
        <f t="shared" ref="J4:O21" si="2">$E4*$G4</f>
        <v>550000</v>
      </c>
      <c r="K4" s="11"/>
      <c r="L4" s="11"/>
      <c r="M4" s="54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44"/>
      <c r="AC4" s="144"/>
      <c r="AD4" s="144"/>
      <c r="AE4" s="144"/>
      <c r="AF4" s="144"/>
      <c r="AG4" s="145"/>
    </row>
    <row r="5" spans="1:33" x14ac:dyDescent="0.35">
      <c r="A5" s="9">
        <v>4</v>
      </c>
      <c r="B5" s="10" t="str">
        <f>+recouvrement_dette!B5</f>
        <v>action4</v>
      </c>
      <c r="C5" s="57" t="s">
        <v>211</v>
      </c>
      <c r="D5" s="57" t="s">
        <v>237</v>
      </c>
      <c r="E5" s="11">
        <v>300000</v>
      </c>
      <c r="F5" s="11">
        <v>12</v>
      </c>
      <c r="G5" s="68">
        <f t="shared" si="0"/>
        <v>0.18</v>
      </c>
      <c r="H5" s="11">
        <f t="shared" si="1"/>
        <v>54000</v>
      </c>
      <c r="I5" s="11"/>
      <c r="J5" s="11">
        <f t="shared" si="2"/>
        <v>54000</v>
      </c>
      <c r="K5" s="11"/>
      <c r="L5" s="11"/>
      <c r="M5" s="54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44"/>
      <c r="AC5" s="144"/>
      <c r="AD5" s="144"/>
      <c r="AE5" s="144"/>
      <c r="AF5" s="144"/>
      <c r="AG5" s="145"/>
    </row>
    <row r="6" spans="1:33" x14ac:dyDescent="0.35">
      <c r="A6" s="9">
        <v>5</v>
      </c>
      <c r="B6" s="10" t="str">
        <f>+recouvrement_dette!B6</f>
        <v>action5</v>
      </c>
      <c r="C6" s="57" t="s">
        <v>211</v>
      </c>
      <c r="D6" s="57" t="s">
        <v>238</v>
      </c>
      <c r="E6" s="11">
        <v>1850000</v>
      </c>
      <c r="F6" s="11">
        <v>24</v>
      </c>
      <c r="G6" s="68">
        <f t="shared" si="0"/>
        <v>0.24</v>
      </c>
      <c r="H6" s="11">
        <f t="shared" si="1"/>
        <v>444000</v>
      </c>
      <c r="I6" s="11"/>
      <c r="J6" s="11">
        <f t="shared" si="2"/>
        <v>444000</v>
      </c>
      <c r="K6" s="11"/>
      <c r="L6" s="11"/>
      <c r="M6" s="54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44"/>
      <c r="AC6" s="144"/>
      <c r="AD6" s="144"/>
      <c r="AE6" s="144"/>
      <c r="AF6" s="144"/>
      <c r="AG6" s="145"/>
    </row>
    <row r="7" spans="1:33" x14ac:dyDescent="0.35">
      <c r="A7" s="9">
        <v>6</v>
      </c>
      <c r="B7" s="10" t="str">
        <f>+recouvrement_dette!B7</f>
        <v>action6</v>
      </c>
      <c r="C7" s="57" t="s">
        <v>211</v>
      </c>
      <c r="D7" s="57" t="s">
        <v>237</v>
      </c>
      <c r="E7" s="11">
        <v>3700000</v>
      </c>
      <c r="F7" s="11">
        <v>12</v>
      </c>
      <c r="G7" s="68">
        <f t="shared" si="0"/>
        <v>0.12</v>
      </c>
      <c r="H7" s="11">
        <f t="shared" si="1"/>
        <v>444000</v>
      </c>
      <c r="I7" s="11"/>
      <c r="J7" s="11">
        <f t="shared" si="2"/>
        <v>444000</v>
      </c>
      <c r="K7" s="11"/>
      <c r="L7" s="11"/>
      <c r="M7" s="54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44"/>
      <c r="AC7" s="144"/>
      <c r="AD7" s="144"/>
      <c r="AE7" s="144"/>
      <c r="AF7" s="144"/>
      <c r="AG7" s="145"/>
    </row>
    <row r="8" spans="1:33" x14ac:dyDescent="0.35">
      <c r="A8" s="9">
        <v>7</v>
      </c>
      <c r="B8" s="10" t="str">
        <f>+recouvrement_dette!B8</f>
        <v>action7</v>
      </c>
      <c r="C8" s="57" t="s">
        <v>211</v>
      </c>
      <c r="D8" s="57" t="s">
        <v>237</v>
      </c>
      <c r="E8" s="11">
        <v>4000000</v>
      </c>
      <c r="F8" s="11">
        <v>12</v>
      </c>
      <c r="G8" s="68">
        <f t="shared" si="0"/>
        <v>0.12</v>
      </c>
      <c r="H8" s="11">
        <f t="shared" si="1"/>
        <v>480000</v>
      </c>
      <c r="I8" s="11"/>
      <c r="J8" s="11">
        <f t="shared" si="2"/>
        <v>480000</v>
      </c>
      <c r="K8" s="11"/>
      <c r="L8" s="11"/>
      <c r="M8" s="54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44"/>
      <c r="AC8" s="144"/>
      <c r="AD8" s="144"/>
      <c r="AE8" s="144"/>
      <c r="AF8" s="144"/>
      <c r="AG8" s="145"/>
    </row>
    <row r="9" spans="1:33" x14ac:dyDescent="0.35">
      <c r="A9" s="9">
        <v>8</v>
      </c>
      <c r="B9" s="10" t="str">
        <f>+recouvrement_dette!B9</f>
        <v>action8</v>
      </c>
      <c r="C9" s="57" t="s">
        <v>211</v>
      </c>
      <c r="D9" s="57" t="s">
        <v>212</v>
      </c>
      <c r="E9" s="11">
        <v>4000000</v>
      </c>
      <c r="F9" s="11">
        <v>10</v>
      </c>
      <c r="G9" s="68">
        <f t="shared" si="0"/>
        <v>0.1</v>
      </c>
      <c r="H9" s="11">
        <f t="shared" si="1"/>
        <v>400000</v>
      </c>
      <c r="I9" s="11"/>
      <c r="J9" s="11">
        <f t="shared" si="2"/>
        <v>400000</v>
      </c>
      <c r="K9" s="11"/>
      <c r="L9" s="11"/>
      <c r="M9" s="54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44"/>
      <c r="AC9" s="144"/>
      <c r="AD9" s="144"/>
      <c r="AE9" s="144"/>
      <c r="AF9" s="144"/>
      <c r="AG9" s="145"/>
    </row>
    <row r="10" spans="1:33" x14ac:dyDescent="0.35">
      <c r="A10" s="9">
        <v>9</v>
      </c>
      <c r="B10" s="10" t="str">
        <f>+recouvrement_dette!B10</f>
        <v>action9</v>
      </c>
      <c r="C10" s="57" t="s">
        <v>211</v>
      </c>
      <c r="D10" s="57" t="s">
        <v>237</v>
      </c>
      <c r="E10" s="11">
        <v>1150000</v>
      </c>
      <c r="F10" s="11">
        <v>12</v>
      </c>
      <c r="G10" s="68">
        <f t="shared" si="0"/>
        <v>0.12</v>
      </c>
      <c r="H10" s="11">
        <f t="shared" si="1"/>
        <v>138000</v>
      </c>
      <c r="I10" s="11"/>
      <c r="J10" s="11">
        <f t="shared" si="2"/>
        <v>138000</v>
      </c>
      <c r="K10" s="11"/>
      <c r="L10" s="11"/>
      <c r="M10" s="54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44"/>
      <c r="AC10" s="144"/>
      <c r="AD10" s="144"/>
      <c r="AE10" s="144"/>
      <c r="AF10" s="144"/>
      <c r="AG10" s="145"/>
    </row>
    <row r="11" spans="1:33" x14ac:dyDescent="0.35">
      <c r="A11" s="9">
        <v>10</v>
      </c>
      <c r="B11" s="10" t="str">
        <f>+recouvrement_dette!B11</f>
        <v>action10</v>
      </c>
      <c r="C11" s="57" t="s">
        <v>211</v>
      </c>
      <c r="D11" s="57" t="s">
        <v>242</v>
      </c>
      <c r="E11" s="11">
        <v>4000000</v>
      </c>
      <c r="F11" s="11">
        <v>9</v>
      </c>
      <c r="G11" s="68">
        <f t="shared" si="0"/>
        <v>0.09</v>
      </c>
      <c r="H11" s="11">
        <f t="shared" si="1"/>
        <v>360000</v>
      </c>
      <c r="I11" s="11"/>
      <c r="J11" s="11">
        <f t="shared" si="2"/>
        <v>360000</v>
      </c>
      <c r="K11" s="11"/>
      <c r="L11" s="11"/>
      <c r="M11" s="54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44"/>
      <c r="AC11" s="144"/>
      <c r="AD11" s="144"/>
      <c r="AE11" s="144"/>
      <c r="AF11" s="144"/>
      <c r="AG11" s="145"/>
    </row>
    <row r="12" spans="1:33" x14ac:dyDescent="0.35">
      <c r="A12" s="9">
        <v>11</v>
      </c>
      <c r="B12" s="10" t="str">
        <f>+recouvrement_dette!B12</f>
        <v>action11</v>
      </c>
      <c r="C12" s="57" t="s">
        <v>211</v>
      </c>
      <c r="D12" s="57" t="s">
        <v>237</v>
      </c>
      <c r="E12" s="11">
        <v>4000000</v>
      </c>
      <c r="F12" s="11">
        <v>12</v>
      </c>
      <c r="G12" s="68">
        <f t="shared" si="0"/>
        <v>0.12</v>
      </c>
      <c r="H12" s="11">
        <f t="shared" si="1"/>
        <v>480000</v>
      </c>
      <c r="I12" s="11"/>
      <c r="J12" s="11">
        <f t="shared" si="2"/>
        <v>480000</v>
      </c>
      <c r="L12" s="11"/>
      <c r="M12" s="54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44"/>
      <c r="AC12" s="144"/>
      <c r="AD12" s="144"/>
      <c r="AE12" s="144"/>
      <c r="AF12" s="144"/>
      <c r="AG12" s="145"/>
    </row>
    <row r="13" spans="1:33" x14ac:dyDescent="0.35">
      <c r="A13" s="9">
        <v>11</v>
      </c>
      <c r="B13" s="10" t="str">
        <f>+recouvrement_dette!B13</f>
        <v>action12</v>
      </c>
      <c r="C13" s="57" t="s">
        <v>211</v>
      </c>
      <c r="D13" s="57" t="s">
        <v>212</v>
      </c>
      <c r="E13" s="11">
        <v>1500000</v>
      </c>
      <c r="F13" s="11">
        <v>10</v>
      </c>
      <c r="G13" s="68">
        <f t="shared" si="0"/>
        <v>0.1</v>
      </c>
      <c r="H13" s="11">
        <f t="shared" si="1"/>
        <v>150000</v>
      </c>
      <c r="I13" s="11"/>
      <c r="J13" s="11">
        <f t="shared" si="2"/>
        <v>150000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44"/>
      <c r="AC13" s="144"/>
      <c r="AD13" s="144"/>
      <c r="AE13" s="144"/>
      <c r="AF13" s="144"/>
      <c r="AG13" s="145"/>
    </row>
    <row r="14" spans="1:33" x14ac:dyDescent="0.35">
      <c r="A14" s="9">
        <v>11</v>
      </c>
      <c r="B14" s="10" t="str">
        <f>+recouvrement_dette!B14</f>
        <v>action13</v>
      </c>
      <c r="C14" s="57" t="s">
        <v>211</v>
      </c>
      <c r="D14" s="57" t="s">
        <v>237</v>
      </c>
      <c r="E14" s="11">
        <v>3000000</v>
      </c>
      <c r="F14" s="11">
        <v>12</v>
      </c>
      <c r="G14" s="68">
        <f t="shared" si="0"/>
        <v>0.12</v>
      </c>
      <c r="H14" s="11">
        <f t="shared" si="1"/>
        <v>360000</v>
      </c>
      <c r="I14" s="11"/>
      <c r="J14" s="11">
        <f t="shared" si="2"/>
        <v>360000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44"/>
      <c r="AC14" s="144"/>
      <c r="AD14" s="144"/>
      <c r="AE14" s="144"/>
      <c r="AF14" s="144"/>
      <c r="AG14" s="145"/>
    </row>
    <row r="15" spans="1:33" x14ac:dyDescent="0.35">
      <c r="A15" s="9">
        <v>11</v>
      </c>
      <c r="B15" s="10" t="str">
        <f>+recouvrement_dette!B15</f>
        <v>action14</v>
      </c>
      <c r="C15" s="10" t="str">
        <f>+recouvrement_dette!C15</f>
        <v>Octobre 2025</v>
      </c>
      <c r="D15" s="10" t="str">
        <f>+recouvrement_dette!D15</f>
        <v>10 Mai. 2027</v>
      </c>
      <c r="E15" s="10">
        <f>+recouvrement_dette!E15</f>
        <v>3000000</v>
      </c>
      <c r="F15" s="10">
        <f>+recouvrement_dette!F15</f>
        <v>18</v>
      </c>
      <c r="G15" s="67">
        <f>+recouvrement_dette!G15</f>
        <v>0.18</v>
      </c>
      <c r="H15" s="11">
        <f t="shared" si="1"/>
        <v>540000</v>
      </c>
      <c r="I15" s="11"/>
      <c r="J15" s="11"/>
      <c r="L15" s="11">
        <f t="shared" si="2"/>
        <v>540000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44"/>
      <c r="AC15" s="144"/>
      <c r="AD15" s="144"/>
      <c r="AE15" s="144"/>
      <c r="AF15" s="144"/>
      <c r="AG15" s="145"/>
    </row>
    <row r="16" spans="1:33" x14ac:dyDescent="0.35">
      <c r="A16" s="9">
        <v>11</v>
      </c>
      <c r="B16" s="10" t="str">
        <f>+recouvrement_dette!B16</f>
        <v>action15</v>
      </c>
      <c r="C16" s="10" t="str">
        <f>+recouvrement_dette!C16</f>
        <v>Octobre 2025</v>
      </c>
      <c r="D16" s="10" t="str">
        <f>+recouvrement_dette!D16</f>
        <v>10 Sept. 2026</v>
      </c>
      <c r="E16" s="10">
        <f>+recouvrement_dette!E16</f>
        <v>2500000</v>
      </c>
      <c r="F16" s="10">
        <f>+recouvrement_dette!F16</f>
        <v>10</v>
      </c>
      <c r="G16" s="67">
        <f>+recouvrement_dette!G16</f>
        <v>0.1</v>
      </c>
      <c r="H16" s="11">
        <f t="shared" si="1"/>
        <v>250000</v>
      </c>
      <c r="I16" s="11"/>
      <c r="J16" s="11"/>
      <c r="L16" s="11">
        <f t="shared" si="2"/>
        <v>250000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44"/>
      <c r="AC16" s="144"/>
      <c r="AD16" s="144"/>
      <c r="AE16" s="144"/>
      <c r="AF16" s="144"/>
      <c r="AG16" s="145"/>
    </row>
    <row r="17" spans="1:33" x14ac:dyDescent="0.35">
      <c r="A17" s="9">
        <v>11</v>
      </c>
      <c r="B17" s="10" t="str">
        <f>+recouvrement_dette!B17</f>
        <v>action16</v>
      </c>
      <c r="C17" s="10" t="str">
        <f>recouvrement_dette!C15</f>
        <v>Octobre 2025</v>
      </c>
      <c r="D17" s="10" t="str">
        <f>recouvrement_dette!D15</f>
        <v>10 Mai. 2027</v>
      </c>
      <c r="E17" s="10">
        <f>+recouvrement_dette!E17</f>
        <v>1000000</v>
      </c>
      <c r="F17" s="10">
        <f>+recouvrement_dette!F17</f>
        <v>3</v>
      </c>
      <c r="G17" s="67">
        <f>+recouvrement_dette!G17</f>
        <v>0.03</v>
      </c>
      <c r="H17" s="11">
        <f t="shared" si="1"/>
        <v>30000</v>
      </c>
      <c r="I17" s="11"/>
      <c r="J17" s="11"/>
      <c r="L17" s="11">
        <f t="shared" si="2"/>
        <v>30000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44"/>
      <c r="AC17" s="144"/>
      <c r="AD17" s="144"/>
      <c r="AE17" s="144"/>
      <c r="AF17" s="144"/>
      <c r="AG17" s="145"/>
    </row>
    <row r="18" spans="1:33" x14ac:dyDescent="0.35">
      <c r="A18" s="9">
        <v>11</v>
      </c>
      <c r="B18" s="10" t="str">
        <f>+recouvrement_dette!B18</f>
        <v>action17</v>
      </c>
      <c r="C18" s="57" t="s">
        <v>249</v>
      </c>
      <c r="D18" s="57" t="s">
        <v>250</v>
      </c>
      <c r="E18" s="11">
        <v>1570000</v>
      </c>
      <c r="F18" s="11">
        <v>12</v>
      </c>
      <c r="G18" s="67">
        <f>recouvrement_dette!G18</f>
        <v>0.12</v>
      </c>
      <c r="H18" s="11">
        <f t="shared" si="1"/>
        <v>188400</v>
      </c>
      <c r="I18" s="11"/>
      <c r="J18" s="11"/>
      <c r="M18" s="11">
        <f t="shared" si="2"/>
        <v>188400</v>
      </c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44"/>
      <c r="AC18" s="144"/>
      <c r="AD18" s="144"/>
      <c r="AE18" s="144"/>
      <c r="AF18" s="144"/>
      <c r="AG18" s="145"/>
    </row>
    <row r="19" spans="1:33" x14ac:dyDescent="0.35">
      <c r="A19" s="9">
        <v>11</v>
      </c>
      <c r="B19" s="10" t="str">
        <f>+recouvrement_dette!B19</f>
        <v>action18</v>
      </c>
      <c r="C19" s="57" t="s">
        <v>249</v>
      </c>
      <c r="D19" s="57" t="s">
        <v>251</v>
      </c>
      <c r="E19" s="11">
        <v>3100000</v>
      </c>
      <c r="F19" s="11">
        <v>3</v>
      </c>
      <c r="G19" s="67">
        <f>recouvrement_dette!G19</f>
        <v>0.03</v>
      </c>
      <c r="H19" s="11">
        <f t="shared" si="1"/>
        <v>93000</v>
      </c>
      <c r="I19" s="11"/>
      <c r="J19" s="11"/>
      <c r="M19" s="11">
        <f t="shared" si="2"/>
        <v>93000</v>
      </c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44"/>
      <c r="AC19" s="144"/>
      <c r="AD19" s="144"/>
      <c r="AE19" s="144"/>
      <c r="AF19" s="144"/>
      <c r="AG19" s="145"/>
    </row>
    <row r="20" spans="1:33" x14ac:dyDescent="0.35">
      <c r="A20" s="9">
        <v>11</v>
      </c>
      <c r="B20" s="10" t="str">
        <f>+recouvrement_dette!B20</f>
        <v>action19</v>
      </c>
      <c r="C20" s="57" t="s">
        <v>255</v>
      </c>
      <c r="D20" s="57" t="s">
        <v>254</v>
      </c>
      <c r="E20" s="11">
        <v>2500000</v>
      </c>
      <c r="F20" s="11">
        <v>4</v>
      </c>
      <c r="G20" s="67">
        <f>recouvrement_dette!G20</f>
        <v>0.04</v>
      </c>
      <c r="H20" s="11">
        <f t="shared" si="1"/>
        <v>100000</v>
      </c>
      <c r="I20" s="11"/>
      <c r="J20" s="11"/>
      <c r="N20" s="11">
        <f t="shared" si="2"/>
        <v>100000</v>
      </c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44"/>
      <c r="AC20" s="144"/>
      <c r="AD20" s="144"/>
      <c r="AE20" s="144"/>
      <c r="AF20" s="144"/>
      <c r="AG20" s="145"/>
    </row>
    <row r="21" spans="1:33" x14ac:dyDescent="0.35">
      <c r="A21" s="9">
        <v>11</v>
      </c>
      <c r="B21" s="10" t="str">
        <f>+recouvrement_dette!B21</f>
        <v>action20</v>
      </c>
      <c r="C21" s="57" t="s">
        <v>257</v>
      </c>
      <c r="D21" s="57" t="s">
        <v>259</v>
      </c>
      <c r="E21" s="11">
        <v>3000000</v>
      </c>
      <c r="F21" s="11">
        <v>24</v>
      </c>
      <c r="G21" s="67">
        <f>recouvrement_dette!G21</f>
        <v>0.24</v>
      </c>
      <c r="H21" s="11">
        <f t="shared" si="1"/>
        <v>720000</v>
      </c>
      <c r="I21" s="11"/>
      <c r="J21" s="11"/>
      <c r="O21" s="11">
        <f t="shared" si="2"/>
        <v>720000</v>
      </c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44"/>
      <c r="AC21" s="144"/>
      <c r="AD21" s="144"/>
      <c r="AE21" s="144"/>
      <c r="AF21" s="144"/>
      <c r="AG21" s="145"/>
    </row>
    <row r="22" spans="1:33" x14ac:dyDescent="0.35">
      <c r="A22" s="9">
        <v>11</v>
      </c>
      <c r="B22" s="10">
        <f>+recouvrement_dette!B22</f>
        <v>0</v>
      </c>
      <c r="C22" s="57"/>
      <c r="D22" s="57"/>
      <c r="E22" s="11"/>
      <c r="F22" s="11"/>
      <c r="G22" s="68"/>
      <c r="H22" s="11"/>
      <c r="I22" s="11"/>
      <c r="J22" s="11"/>
      <c r="S22" s="11"/>
      <c r="T22" s="11"/>
      <c r="U22" s="11"/>
      <c r="V22" s="11"/>
      <c r="W22" s="11"/>
      <c r="X22" s="11"/>
      <c r="Y22" s="11"/>
      <c r="Z22" s="11"/>
      <c r="AA22" s="11"/>
      <c r="AB22" s="144"/>
      <c r="AC22" s="144"/>
      <c r="AD22" s="144"/>
      <c r="AE22" s="144"/>
      <c r="AF22" s="144"/>
      <c r="AG22" s="145"/>
    </row>
    <row r="23" spans="1:33" x14ac:dyDescent="0.35">
      <c r="A23" s="9">
        <v>11</v>
      </c>
      <c r="B23" s="10">
        <f>+recouvrement_dette!B23</f>
        <v>0</v>
      </c>
      <c r="C23" s="57"/>
      <c r="D23" s="57"/>
      <c r="E23" s="11"/>
      <c r="F23" s="11"/>
      <c r="G23" s="68"/>
      <c r="H23" s="11"/>
      <c r="I23" s="11"/>
      <c r="J23" s="11"/>
      <c r="T23" s="11"/>
      <c r="U23" s="11"/>
      <c r="V23" s="11"/>
      <c r="W23" s="11"/>
      <c r="X23" s="11"/>
      <c r="Y23" s="11"/>
      <c r="Z23" s="11"/>
      <c r="AA23" s="11"/>
      <c r="AB23" s="144"/>
      <c r="AC23" s="144"/>
      <c r="AD23" s="144"/>
      <c r="AE23" s="144"/>
      <c r="AF23" s="144"/>
      <c r="AG23" s="145"/>
    </row>
    <row r="24" spans="1:33" x14ac:dyDescent="0.35">
      <c r="A24" s="9">
        <v>11</v>
      </c>
      <c r="B24" s="10">
        <f>+recouvrement_dette!B24</f>
        <v>0</v>
      </c>
      <c r="C24" s="57"/>
      <c r="D24" s="57"/>
      <c r="E24" s="11"/>
      <c r="F24" s="11"/>
      <c r="G24" s="68"/>
      <c r="H24" s="11"/>
      <c r="I24" s="11"/>
      <c r="J24" s="11"/>
      <c r="T24" s="11"/>
      <c r="V24" s="11"/>
      <c r="W24" s="11"/>
      <c r="X24" s="11"/>
      <c r="Y24" s="11"/>
      <c r="Z24" s="11"/>
      <c r="AA24" s="11"/>
      <c r="AB24" s="144"/>
      <c r="AC24" s="144"/>
      <c r="AD24" s="144"/>
      <c r="AE24" s="144"/>
      <c r="AF24" s="144"/>
      <c r="AG24" s="145"/>
    </row>
    <row r="25" spans="1:33" x14ac:dyDescent="0.35">
      <c r="A25" s="9">
        <v>11</v>
      </c>
      <c r="B25" s="10">
        <f>+recouvrement_dette!B25</f>
        <v>0</v>
      </c>
      <c r="C25" s="57"/>
      <c r="D25" s="57"/>
      <c r="E25" s="11"/>
      <c r="F25" s="11"/>
      <c r="G25" s="68"/>
      <c r="H25" s="11"/>
      <c r="I25" s="11"/>
      <c r="J25" s="11"/>
      <c r="U25" s="11"/>
      <c r="V25" s="11"/>
      <c r="X25" s="11"/>
      <c r="Y25" s="11"/>
      <c r="Z25" s="11"/>
      <c r="AA25" s="11"/>
      <c r="AB25" s="144"/>
      <c r="AC25" s="144"/>
      <c r="AD25" s="144"/>
      <c r="AE25" s="144"/>
      <c r="AF25" s="144"/>
      <c r="AG25" s="145"/>
    </row>
    <row r="26" spans="1:33" x14ac:dyDescent="0.35">
      <c r="A26" s="9">
        <v>11</v>
      </c>
      <c r="B26" s="10">
        <f>+recouvrement_dette!B26</f>
        <v>0</v>
      </c>
      <c r="C26" s="57"/>
      <c r="D26" s="57"/>
      <c r="E26" s="11"/>
      <c r="F26" s="11"/>
      <c r="G26" s="68"/>
      <c r="H26" s="11"/>
      <c r="I26" s="11"/>
      <c r="J26" s="11"/>
      <c r="U26" s="11"/>
      <c r="V26" s="11"/>
      <c r="X26" s="11"/>
      <c r="Y26" s="11"/>
      <c r="Z26" s="11"/>
      <c r="AA26" s="11"/>
      <c r="AB26" s="144"/>
      <c r="AC26" s="144"/>
      <c r="AD26" s="144"/>
      <c r="AE26" s="144"/>
      <c r="AF26" s="144"/>
      <c r="AG26" s="145"/>
    </row>
    <row r="27" spans="1:33" x14ac:dyDescent="0.35">
      <c r="A27" s="9">
        <v>11</v>
      </c>
      <c r="B27" s="10">
        <f>+recouvrement_dette!B27</f>
        <v>0</v>
      </c>
      <c r="C27" s="57"/>
      <c r="D27" s="57"/>
      <c r="E27" s="11"/>
      <c r="F27" s="11"/>
      <c r="G27" s="68"/>
      <c r="H27" s="11"/>
      <c r="I27" s="11"/>
      <c r="J27" s="11"/>
      <c r="V27" s="11"/>
      <c r="X27" s="11"/>
      <c r="Y27" s="11"/>
      <c r="Z27" s="11"/>
      <c r="AA27" s="11"/>
      <c r="AB27" s="144"/>
      <c r="AC27" s="144"/>
      <c r="AD27" s="144"/>
      <c r="AE27" s="144"/>
      <c r="AF27" s="144"/>
      <c r="AG27" s="145"/>
    </row>
    <row r="28" spans="1:33" x14ac:dyDescent="0.35">
      <c r="A28" s="9">
        <v>11</v>
      </c>
      <c r="B28" s="10">
        <f>+recouvrement_dette!B28</f>
        <v>0</v>
      </c>
      <c r="C28" s="57"/>
      <c r="D28" s="57"/>
      <c r="E28" s="11"/>
      <c r="F28" s="11"/>
      <c r="G28" s="68"/>
      <c r="H28" s="11"/>
      <c r="I28" s="11"/>
      <c r="J28" s="11"/>
      <c r="W28" s="11"/>
      <c r="X28" s="11"/>
      <c r="Y28" s="11"/>
      <c r="Z28" s="11"/>
      <c r="AA28" s="11"/>
      <c r="AB28" s="144"/>
      <c r="AC28" s="144"/>
      <c r="AD28" s="144"/>
      <c r="AE28" s="144"/>
      <c r="AF28" s="144"/>
      <c r="AG28" s="145"/>
    </row>
    <row r="29" spans="1:33" x14ac:dyDescent="0.35">
      <c r="A29" s="9">
        <v>11</v>
      </c>
      <c r="B29" s="10">
        <f>+recouvrement_dette!B29</f>
        <v>0</v>
      </c>
      <c r="C29" s="57"/>
      <c r="D29" s="57"/>
      <c r="E29" s="11"/>
      <c r="F29" s="11"/>
      <c r="G29" s="68"/>
      <c r="H29" s="11"/>
      <c r="I29" s="11"/>
      <c r="J29" s="11"/>
      <c r="W29" s="11"/>
      <c r="X29" s="11"/>
      <c r="Y29" s="11"/>
      <c r="Z29" s="11"/>
      <c r="AA29" s="11"/>
      <c r="AB29" s="144"/>
      <c r="AC29" s="144"/>
      <c r="AD29" s="144"/>
      <c r="AE29" s="144"/>
      <c r="AF29" s="144"/>
      <c r="AG29" s="145"/>
    </row>
    <row r="30" spans="1:33" x14ac:dyDescent="0.35">
      <c r="A30" s="193"/>
      <c r="B30" s="10">
        <f>+recouvrement_dette!B30</f>
        <v>0</v>
      </c>
      <c r="C30" s="57"/>
      <c r="D30" s="57"/>
      <c r="E30" s="194"/>
      <c r="F30" s="194"/>
      <c r="G30" s="195"/>
      <c r="H30" s="194"/>
      <c r="I30" s="194"/>
      <c r="J30" s="194"/>
      <c r="Q30" s="194"/>
      <c r="R30" s="194"/>
      <c r="S30" s="194"/>
      <c r="T30" s="194"/>
      <c r="U30" s="194"/>
      <c r="V30" s="194"/>
      <c r="W30" s="194"/>
      <c r="X30" s="11"/>
      <c r="Y30" s="194"/>
      <c r="Z30" s="194"/>
      <c r="AA30" s="194"/>
      <c r="AB30" s="144"/>
      <c r="AC30" s="144"/>
      <c r="AD30" s="144"/>
      <c r="AE30" s="144"/>
      <c r="AF30" s="144"/>
      <c r="AG30" s="145"/>
    </row>
    <row r="31" spans="1:33" x14ac:dyDescent="0.35">
      <c r="A31" s="193"/>
      <c r="B31" s="10">
        <f>+recouvrement_dette!B31</f>
        <v>0</v>
      </c>
      <c r="C31" s="57"/>
      <c r="D31" s="57"/>
      <c r="E31" s="11"/>
      <c r="F31" s="11"/>
      <c r="G31" s="68"/>
      <c r="H31" s="11"/>
      <c r="I31" s="194"/>
      <c r="J31" s="194"/>
      <c r="Q31" s="194"/>
      <c r="R31" s="194"/>
      <c r="S31" s="194"/>
      <c r="T31" s="194"/>
      <c r="U31" s="194"/>
      <c r="V31" s="194"/>
      <c r="W31" s="194"/>
      <c r="X31" s="194"/>
      <c r="Y31" s="11"/>
      <c r="Z31" s="194"/>
      <c r="AA31" s="194"/>
      <c r="AB31" s="144"/>
      <c r="AC31" s="144"/>
      <c r="AD31" s="144"/>
      <c r="AE31" s="144"/>
      <c r="AF31" s="144"/>
      <c r="AG31" s="145"/>
    </row>
    <row r="32" spans="1:33" x14ac:dyDescent="0.35">
      <c r="A32" s="193"/>
      <c r="B32" s="10">
        <f>+recouvrement_dette!B32</f>
        <v>0</v>
      </c>
      <c r="C32" s="57"/>
      <c r="D32" s="57"/>
      <c r="E32" s="11"/>
      <c r="F32" s="11"/>
      <c r="G32" s="68"/>
      <c r="H32" s="11"/>
      <c r="I32" s="194"/>
      <c r="J32" s="194"/>
      <c r="Q32" s="194"/>
      <c r="R32" s="194"/>
      <c r="S32" s="194"/>
      <c r="T32" s="194"/>
      <c r="U32" s="194"/>
      <c r="V32" s="194"/>
      <c r="W32" s="194"/>
      <c r="X32" s="194"/>
      <c r="Y32" s="11"/>
      <c r="Z32" s="194"/>
      <c r="AA32" s="194"/>
      <c r="AB32" s="144"/>
      <c r="AC32" s="144"/>
      <c r="AD32" s="144"/>
      <c r="AE32" s="144"/>
      <c r="AF32" s="144"/>
      <c r="AG32" s="145"/>
    </row>
    <row r="33" spans="1:33" x14ac:dyDescent="0.35">
      <c r="A33" s="193"/>
      <c r="B33" s="10">
        <f>+recouvrement_dette!B33</f>
        <v>0</v>
      </c>
      <c r="C33" s="57"/>
      <c r="D33" s="57"/>
      <c r="E33" s="11"/>
      <c r="F33" s="11"/>
      <c r="G33" s="68"/>
      <c r="H33" s="11"/>
      <c r="I33" s="194"/>
      <c r="J33" s="194"/>
      <c r="Q33" s="194"/>
      <c r="R33" s="194"/>
      <c r="S33" s="194"/>
      <c r="T33" s="194"/>
      <c r="U33" s="194"/>
      <c r="V33" s="194"/>
      <c r="W33" s="194"/>
      <c r="X33" s="194"/>
      <c r="Y33" s="11"/>
      <c r="Z33" s="194"/>
      <c r="AA33" s="194"/>
      <c r="AB33" s="144"/>
      <c r="AC33" s="144"/>
      <c r="AD33" s="144"/>
      <c r="AE33" s="144"/>
      <c r="AF33" s="144"/>
      <c r="AG33" s="145"/>
    </row>
    <row r="34" spans="1:33" x14ac:dyDescent="0.35">
      <c r="A34" s="193"/>
      <c r="B34" s="10">
        <f>+recouvrement_dette!B34</f>
        <v>0</v>
      </c>
      <c r="C34" s="57"/>
      <c r="D34" s="57"/>
      <c r="E34" s="11"/>
      <c r="F34" s="11"/>
      <c r="G34" s="68"/>
      <c r="H34" s="11"/>
      <c r="I34" s="194"/>
      <c r="J34" s="194"/>
      <c r="Q34" s="194"/>
      <c r="R34" s="194"/>
      <c r="S34" s="194"/>
      <c r="T34" s="194"/>
      <c r="U34" s="194"/>
      <c r="V34" s="194"/>
      <c r="W34" s="194"/>
      <c r="X34" s="194"/>
      <c r="Z34" s="194"/>
      <c r="AA34" s="11"/>
      <c r="AB34" s="144"/>
      <c r="AC34" s="144"/>
      <c r="AD34" s="144"/>
      <c r="AE34" s="144"/>
      <c r="AF34" s="144"/>
      <c r="AG34" s="145"/>
    </row>
    <row r="35" spans="1:33" x14ac:dyDescent="0.35">
      <c r="A35" s="193"/>
      <c r="B35" s="10">
        <f>+recouvrement_dette!B35</f>
        <v>0</v>
      </c>
      <c r="C35" s="57"/>
      <c r="D35" s="57"/>
      <c r="E35" s="11"/>
      <c r="F35" s="11"/>
      <c r="G35" s="68"/>
      <c r="H35" s="11"/>
      <c r="I35" s="194"/>
      <c r="J35" s="194"/>
      <c r="Q35" s="194"/>
      <c r="R35" s="194"/>
      <c r="S35" s="194"/>
      <c r="T35" s="194"/>
      <c r="U35" s="194"/>
      <c r="V35" s="194"/>
      <c r="W35" s="194"/>
      <c r="X35" s="194"/>
      <c r="Z35" s="194"/>
      <c r="AA35" s="11"/>
      <c r="AB35" s="144"/>
      <c r="AC35" s="144"/>
      <c r="AD35" s="144"/>
      <c r="AE35" s="144"/>
      <c r="AF35" s="144"/>
      <c r="AG35" s="145"/>
    </row>
    <row r="36" spans="1:33" x14ac:dyDescent="0.35">
      <c r="A36" s="193"/>
      <c r="B36" s="10">
        <f>+recouvrement_dette!B36</f>
        <v>0</v>
      </c>
      <c r="C36" s="57"/>
      <c r="D36" s="57"/>
      <c r="E36" s="11"/>
      <c r="F36" s="11"/>
      <c r="G36" s="68"/>
      <c r="H36" s="11"/>
      <c r="I36" s="194"/>
      <c r="J36" s="194"/>
      <c r="Q36" s="194"/>
      <c r="R36" s="194"/>
      <c r="S36" s="194"/>
      <c r="T36" s="194"/>
      <c r="U36" s="194"/>
      <c r="V36" s="194"/>
      <c r="W36" s="194"/>
      <c r="X36" s="194"/>
      <c r="Z36" s="194"/>
      <c r="AA36" s="11"/>
      <c r="AB36" s="144"/>
      <c r="AC36" s="144"/>
      <c r="AD36" s="144"/>
      <c r="AE36" s="144"/>
      <c r="AF36" s="144"/>
      <c r="AG36" s="145"/>
    </row>
    <row r="37" spans="1:33" x14ac:dyDescent="0.35">
      <c r="A37" s="193"/>
      <c r="B37" s="10">
        <f>+recouvrement_dette!B37</f>
        <v>0</v>
      </c>
      <c r="C37" s="57"/>
      <c r="D37" s="57"/>
      <c r="E37" s="11"/>
      <c r="F37" s="11"/>
      <c r="G37" s="68"/>
      <c r="H37" s="11"/>
      <c r="I37" s="194"/>
      <c r="J37" s="194"/>
      <c r="Q37" s="194"/>
      <c r="R37" s="194"/>
      <c r="S37" s="194"/>
      <c r="T37" s="194"/>
      <c r="U37" s="194"/>
      <c r="V37" s="194"/>
      <c r="W37" s="194"/>
      <c r="X37" s="194"/>
      <c r="Z37" s="194"/>
      <c r="AB37" s="11"/>
      <c r="AC37" s="144"/>
      <c r="AD37" s="144"/>
      <c r="AE37" s="144"/>
      <c r="AF37" s="144"/>
      <c r="AG37" s="145"/>
    </row>
    <row r="38" spans="1:33" x14ac:dyDescent="0.35">
      <c r="A38" s="193"/>
      <c r="B38" s="10">
        <f>+recouvrement_dette!B38</f>
        <v>0</v>
      </c>
      <c r="C38" s="57"/>
      <c r="D38" s="57"/>
      <c r="E38" s="11"/>
      <c r="F38" s="11"/>
      <c r="G38" s="68"/>
      <c r="H38" s="11"/>
      <c r="I38" s="194"/>
      <c r="J38" s="194"/>
      <c r="Q38" s="194"/>
      <c r="R38" s="194"/>
      <c r="S38" s="194"/>
      <c r="T38" s="194"/>
      <c r="U38" s="194"/>
      <c r="V38" s="194"/>
      <c r="W38" s="194"/>
      <c r="X38" s="194"/>
      <c r="Z38" s="194"/>
      <c r="AD38" s="11"/>
      <c r="AE38" s="144"/>
      <c r="AF38" s="144"/>
      <c r="AG38" s="145"/>
    </row>
    <row r="39" spans="1:33" x14ac:dyDescent="0.35">
      <c r="A39" s="193"/>
      <c r="B39" s="10">
        <f>+recouvrement_dette!B39</f>
        <v>0</v>
      </c>
      <c r="C39" s="57"/>
      <c r="D39" s="57"/>
      <c r="E39" s="11"/>
      <c r="F39" s="11"/>
      <c r="G39" s="68"/>
      <c r="H39" s="11"/>
      <c r="I39" s="194"/>
      <c r="J39" s="194"/>
      <c r="Q39" s="194"/>
      <c r="R39" s="194"/>
      <c r="S39" s="194"/>
      <c r="T39" s="194"/>
      <c r="U39" s="194"/>
      <c r="V39" s="194"/>
      <c r="W39" s="194"/>
      <c r="X39" s="194"/>
      <c r="Z39" s="194"/>
      <c r="AD39" s="11"/>
      <c r="AE39" s="144"/>
      <c r="AF39" s="144"/>
      <c r="AG39" s="145"/>
    </row>
    <row r="40" spans="1:33" x14ac:dyDescent="0.35">
      <c r="A40" s="193"/>
      <c r="B40" s="10">
        <f>+recouvrement_dette!B40</f>
        <v>0</v>
      </c>
      <c r="C40" s="57"/>
      <c r="D40" s="57"/>
      <c r="E40" s="11"/>
      <c r="F40" s="11"/>
      <c r="G40" s="68"/>
      <c r="H40" s="11"/>
      <c r="I40" s="194"/>
      <c r="J40" s="194"/>
      <c r="Q40" s="194"/>
      <c r="R40" s="194"/>
      <c r="S40" s="194"/>
      <c r="T40" s="194"/>
      <c r="U40" s="194"/>
      <c r="V40" s="194"/>
      <c r="W40" s="194"/>
      <c r="X40" s="194"/>
      <c r="Z40" s="194"/>
      <c r="AD40" s="11"/>
      <c r="AE40" s="144"/>
      <c r="AF40" s="144"/>
      <c r="AG40" s="145"/>
    </row>
    <row r="41" spans="1:33" x14ac:dyDescent="0.35">
      <c r="A41" s="193"/>
      <c r="B41" s="10">
        <f>+recouvrement_dette!B41</f>
        <v>0</v>
      </c>
      <c r="C41" s="57"/>
      <c r="D41" s="57"/>
      <c r="E41" s="11"/>
      <c r="F41" s="11"/>
      <c r="G41" s="68"/>
      <c r="H41" s="11"/>
      <c r="I41" s="194"/>
      <c r="J41" s="194"/>
      <c r="Q41" s="194"/>
      <c r="R41" s="194"/>
      <c r="S41" s="194"/>
      <c r="T41" s="194"/>
      <c r="U41" s="194"/>
      <c r="V41" s="194"/>
      <c r="W41" s="194"/>
      <c r="X41" s="194"/>
      <c r="Z41" s="194"/>
      <c r="AE41" s="11"/>
      <c r="AF41" s="144"/>
      <c r="AG41" s="145"/>
    </row>
    <row r="42" spans="1:33" s="7" customFormat="1" ht="18.5" thickBot="1" x14ac:dyDescent="0.45">
      <c r="A42" s="235" t="s">
        <v>23</v>
      </c>
      <c r="B42" s="236"/>
      <c r="C42" s="63">
        <f>SUM(C2:C6)</f>
        <v>0</v>
      </c>
      <c r="D42" s="63">
        <f>SUM(D2:D6)</f>
        <v>0</v>
      </c>
      <c r="E42" s="12"/>
      <c r="F42" s="12"/>
      <c r="G42" s="12"/>
      <c r="H42" s="12"/>
      <c r="I42" s="64">
        <f>SUM(I2:I40)</f>
        <v>0</v>
      </c>
      <c r="J42" s="64">
        <f t="shared" ref="J42:AG42" si="3">SUM(J2:J40)</f>
        <v>4340000</v>
      </c>
      <c r="K42" s="64">
        <f t="shared" si="3"/>
        <v>0</v>
      </c>
      <c r="L42" s="64">
        <f t="shared" si="3"/>
        <v>820000</v>
      </c>
      <c r="M42" s="64">
        <f t="shared" si="3"/>
        <v>281400</v>
      </c>
      <c r="N42" s="64">
        <f t="shared" si="3"/>
        <v>100000</v>
      </c>
      <c r="O42" s="64">
        <f t="shared" si="3"/>
        <v>720000</v>
      </c>
      <c r="P42" s="64">
        <f t="shared" si="3"/>
        <v>0</v>
      </c>
      <c r="Q42" s="64">
        <f t="shared" si="3"/>
        <v>0</v>
      </c>
      <c r="R42" s="64">
        <f t="shared" si="3"/>
        <v>0</v>
      </c>
      <c r="S42" s="64">
        <f t="shared" si="3"/>
        <v>0</v>
      </c>
      <c r="T42" s="64">
        <f t="shared" si="3"/>
        <v>0</v>
      </c>
      <c r="U42" s="64">
        <f t="shared" si="3"/>
        <v>0</v>
      </c>
      <c r="V42" s="64">
        <f t="shared" si="3"/>
        <v>0</v>
      </c>
      <c r="W42" s="64">
        <f t="shared" si="3"/>
        <v>0</v>
      </c>
      <c r="X42" s="64">
        <f t="shared" si="3"/>
        <v>0</v>
      </c>
      <c r="Y42" s="64">
        <f t="shared" si="3"/>
        <v>0</v>
      </c>
      <c r="Z42" s="64">
        <f t="shared" si="3"/>
        <v>0</v>
      </c>
      <c r="AA42" s="64">
        <f t="shared" si="3"/>
        <v>0</v>
      </c>
      <c r="AB42" s="64">
        <f t="shared" si="3"/>
        <v>0</v>
      </c>
      <c r="AC42" s="64">
        <f t="shared" si="3"/>
        <v>0</v>
      </c>
      <c r="AD42" s="64">
        <f>SUM(AD2:AD40)</f>
        <v>0</v>
      </c>
      <c r="AE42" s="64">
        <f t="shared" si="3"/>
        <v>0</v>
      </c>
      <c r="AF42" s="64">
        <f t="shared" si="3"/>
        <v>0</v>
      </c>
      <c r="AG42" s="64">
        <f t="shared" si="3"/>
        <v>0</v>
      </c>
    </row>
    <row r="43" spans="1:33" x14ac:dyDescent="0.35">
      <c r="AD43" s="66"/>
    </row>
  </sheetData>
  <mergeCells count="1">
    <mergeCell ref="A42:B42"/>
  </mergeCells>
  <pageMargins left="0.70866141732283472" right="0.70866141732283472" top="0.74803149606299213" bottom="0.74803149606299213" header="0.31496062992125984" footer="0.31496062992125984"/>
  <pageSetup paperSize="9" scale="44" orientation="landscape" r:id="rId1"/>
  <headerFooter>
    <oddHeader>&amp;C&amp;"-,Gras"&amp;20ETAT DETAILLE DE RECOUVREMENT DES DETTES DANS LA MICROFINANCE CAMDVI (Oct-2021-Juillet-2023)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8632A-9561-4C9E-8518-9762A18D1D77}">
  <sheetPr codeName="Feuil13"/>
  <dimension ref="A1:N28"/>
  <sheetViews>
    <sheetView topLeftCell="B10" workbookViewId="0">
      <selection activeCell="N28" sqref="N28"/>
    </sheetView>
  </sheetViews>
  <sheetFormatPr baseColWidth="10" defaultRowHeight="14.5" x14ac:dyDescent="0.35"/>
  <cols>
    <col min="1" max="1" width="22.36328125" customWidth="1"/>
    <col min="2" max="2" width="10.90625" style="76"/>
    <col min="5" max="5" width="10.90625" style="142"/>
    <col min="6" max="6" width="11.26953125" style="76" bestFit="1" customWidth="1"/>
    <col min="13" max="14" width="10.90625" style="76"/>
  </cols>
  <sheetData>
    <row r="1" spans="1:14" x14ac:dyDescent="0.35">
      <c r="A1" t="s">
        <v>58</v>
      </c>
      <c r="B1" s="76" t="s">
        <v>59</v>
      </c>
      <c r="C1" t="s">
        <v>61</v>
      </c>
      <c r="D1" t="s">
        <v>68</v>
      </c>
      <c r="E1" s="142" t="s">
        <v>69</v>
      </c>
      <c r="F1" s="76" t="s">
        <v>60</v>
      </c>
      <c r="G1" t="s">
        <v>94</v>
      </c>
      <c r="H1" t="s">
        <v>84</v>
      </c>
      <c r="I1" t="s">
        <v>71</v>
      </c>
      <c r="J1" t="s">
        <v>53</v>
      </c>
      <c r="K1" t="s">
        <v>63</v>
      </c>
    </row>
    <row r="2" spans="1:14" x14ac:dyDescent="0.35">
      <c r="A2" t="s">
        <v>18</v>
      </c>
      <c r="B2" s="76">
        <v>300000</v>
      </c>
      <c r="E2" s="142">
        <v>0.16</v>
      </c>
      <c r="F2" s="76">
        <v>48000</v>
      </c>
      <c r="G2">
        <v>348000</v>
      </c>
      <c r="H2">
        <v>1</v>
      </c>
      <c r="I2">
        <v>0</v>
      </c>
      <c r="J2" t="s">
        <v>92</v>
      </c>
      <c r="K2" t="s">
        <v>100</v>
      </c>
    </row>
    <row r="3" spans="1:14" x14ac:dyDescent="0.35">
      <c r="A3" t="s">
        <v>86</v>
      </c>
      <c r="B3" s="76">
        <v>100000</v>
      </c>
      <c r="E3" s="142">
        <v>0</v>
      </c>
      <c r="F3" s="76">
        <v>0</v>
      </c>
      <c r="G3">
        <v>100000</v>
      </c>
      <c r="H3">
        <v>1</v>
      </c>
      <c r="I3">
        <v>0</v>
      </c>
      <c r="J3" t="s">
        <v>91</v>
      </c>
      <c r="K3" t="s">
        <v>100</v>
      </c>
    </row>
    <row r="4" spans="1:14" x14ac:dyDescent="0.35">
      <c r="A4" t="s">
        <v>8</v>
      </c>
      <c r="B4" s="76">
        <v>92675</v>
      </c>
      <c r="E4" s="142">
        <v>0</v>
      </c>
      <c r="F4" s="76">
        <v>0</v>
      </c>
      <c r="G4">
        <v>92675</v>
      </c>
      <c r="H4">
        <v>1</v>
      </c>
      <c r="I4">
        <v>0</v>
      </c>
      <c r="J4" t="s">
        <v>91</v>
      </c>
      <c r="K4" t="s">
        <v>100</v>
      </c>
    </row>
    <row r="5" spans="1:14" x14ac:dyDescent="0.35">
      <c r="A5" t="s">
        <v>65</v>
      </c>
      <c r="B5" s="76">
        <v>5000</v>
      </c>
      <c r="E5" s="142">
        <v>0</v>
      </c>
      <c r="F5" s="76">
        <v>0</v>
      </c>
      <c r="G5">
        <v>5000</v>
      </c>
      <c r="H5">
        <v>1</v>
      </c>
      <c r="I5">
        <v>0</v>
      </c>
      <c r="J5" t="s">
        <v>91</v>
      </c>
      <c r="K5" t="s">
        <v>100</v>
      </c>
    </row>
    <row r="6" spans="1:14" x14ac:dyDescent="0.35">
      <c r="A6" t="s">
        <v>66</v>
      </c>
      <c r="B6" s="76">
        <v>75000</v>
      </c>
      <c r="E6" s="142">
        <v>0.50706666666666667</v>
      </c>
      <c r="F6" s="76">
        <v>38030</v>
      </c>
      <c r="G6">
        <v>0</v>
      </c>
      <c r="H6">
        <v>0</v>
      </c>
      <c r="I6">
        <v>113030</v>
      </c>
      <c r="J6" t="s">
        <v>91</v>
      </c>
      <c r="K6" t="s">
        <v>64</v>
      </c>
    </row>
    <row r="7" spans="1:14" x14ac:dyDescent="0.35">
      <c r="A7" t="s">
        <v>10</v>
      </c>
      <c r="B7" s="76">
        <v>200000</v>
      </c>
      <c r="E7" s="142">
        <v>0.16</v>
      </c>
      <c r="F7" s="76">
        <v>32000</v>
      </c>
      <c r="G7">
        <v>232000</v>
      </c>
      <c r="H7">
        <v>1</v>
      </c>
      <c r="I7">
        <v>0</v>
      </c>
      <c r="J7" t="s">
        <v>83</v>
      </c>
      <c r="K7" t="s">
        <v>100</v>
      </c>
    </row>
    <row r="8" spans="1:14" x14ac:dyDescent="0.35">
      <c r="A8" t="s">
        <v>17</v>
      </c>
      <c r="B8" s="76">
        <v>264000</v>
      </c>
      <c r="E8" s="142">
        <v>0</v>
      </c>
      <c r="F8" s="76">
        <v>0</v>
      </c>
      <c r="G8">
        <v>240772.95043029991</v>
      </c>
      <c r="H8">
        <v>0.91201875162992396</v>
      </c>
      <c r="I8">
        <v>23227.049569700088</v>
      </c>
      <c r="J8" t="s">
        <v>91</v>
      </c>
      <c r="K8" t="s">
        <v>74</v>
      </c>
    </row>
    <row r="9" spans="1:14" x14ac:dyDescent="0.35">
      <c r="A9" t="s">
        <v>70</v>
      </c>
      <c r="B9" s="76">
        <v>1000000</v>
      </c>
      <c r="C9" t="s">
        <v>67</v>
      </c>
      <c r="D9">
        <v>12</v>
      </c>
      <c r="E9" s="142">
        <v>0.2</v>
      </c>
      <c r="F9" s="76">
        <v>200000</v>
      </c>
      <c r="G9">
        <v>1200000</v>
      </c>
      <c r="H9">
        <v>1</v>
      </c>
      <c r="I9">
        <v>0</v>
      </c>
      <c r="J9" t="s">
        <v>96</v>
      </c>
      <c r="K9" t="s">
        <v>82</v>
      </c>
    </row>
    <row r="10" spans="1:14" x14ac:dyDescent="0.35">
      <c r="A10" t="s">
        <v>77</v>
      </c>
      <c r="B10" s="76">
        <v>468000</v>
      </c>
      <c r="C10" t="s">
        <v>80</v>
      </c>
      <c r="D10">
        <v>6</v>
      </c>
      <c r="E10" s="142">
        <v>0.1</v>
      </c>
      <c r="F10" s="76">
        <v>46800</v>
      </c>
      <c r="G10">
        <v>514800</v>
      </c>
      <c r="H10">
        <v>1</v>
      </c>
      <c r="I10">
        <v>0</v>
      </c>
      <c r="J10" t="s">
        <v>98</v>
      </c>
      <c r="K10" t="s">
        <v>100</v>
      </c>
    </row>
    <row r="11" spans="1:14" x14ac:dyDescent="0.35">
      <c r="A11" t="s">
        <v>12</v>
      </c>
      <c r="B11" s="76">
        <v>164000</v>
      </c>
      <c r="C11" t="s">
        <v>80</v>
      </c>
      <c r="D11">
        <v>3</v>
      </c>
      <c r="E11" s="142">
        <v>0.05</v>
      </c>
      <c r="F11" s="76">
        <v>8200</v>
      </c>
      <c r="G11">
        <v>172200</v>
      </c>
      <c r="H11">
        <v>1</v>
      </c>
      <c r="I11">
        <v>0</v>
      </c>
      <c r="J11" t="s">
        <v>97</v>
      </c>
      <c r="K11" t="s">
        <v>100</v>
      </c>
    </row>
    <row r="12" spans="1:14" x14ac:dyDescent="0.35">
      <c r="A12" t="s">
        <v>16</v>
      </c>
      <c r="B12" s="76">
        <v>600000</v>
      </c>
      <c r="C12" t="s">
        <v>85</v>
      </c>
      <c r="D12">
        <v>9</v>
      </c>
      <c r="E12" s="142">
        <v>0.15</v>
      </c>
      <c r="F12" s="76">
        <v>90000</v>
      </c>
      <c r="G12">
        <v>690000</v>
      </c>
      <c r="H12">
        <v>1</v>
      </c>
      <c r="I12">
        <v>0</v>
      </c>
      <c r="J12" t="s">
        <v>96</v>
      </c>
      <c r="K12" t="s">
        <v>100</v>
      </c>
    </row>
    <row r="13" spans="1:14" x14ac:dyDescent="0.35">
      <c r="A13" t="s">
        <v>65</v>
      </c>
      <c r="B13" s="76">
        <v>850000</v>
      </c>
      <c r="C13" t="s">
        <v>95</v>
      </c>
      <c r="D13">
        <v>3</v>
      </c>
      <c r="E13" s="142">
        <v>0.05</v>
      </c>
      <c r="F13" s="76">
        <v>42500</v>
      </c>
      <c r="G13">
        <v>892500</v>
      </c>
      <c r="H13">
        <v>1</v>
      </c>
      <c r="I13">
        <v>0</v>
      </c>
      <c r="J13" t="s">
        <v>98</v>
      </c>
      <c r="K13" t="s">
        <v>100</v>
      </c>
    </row>
    <row r="14" spans="1:14" x14ac:dyDescent="0.35">
      <c r="A14" t="s">
        <v>13</v>
      </c>
      <c r="B14" s="76">
        <v>150000</v>
      </c>
      <c r="C14" t="s">
        <v>95</v>
      </c>
      <c r="D14">
        <v>3</v>
      </c>
      <c r="E14" s="142">
        <v>0.05</v>
      </c>
      <c r="F14" s="76">
        <v>7500</v>
      </c>
      <c r="G14">
        <v>157500</v>
      </c>
      <c r="H14">
        <v>1</v>
      </c>
      <c r="I14">
        <v>0</v>
      </c>
      <c r="J14" t="s">
        <v>98</v>
      </c>
      <c r="K14" t="s">
        <v>100</v>
      </c>
      <c r="M14" s="76">
        <v>895000</v>
      </c>
      <c r="N14" s="76">
        <v>400000</v>
      </c>
    </row>
    <row r="15" spans="1:14" x14ac:dyDescent="0.35">
      <c r="A15" t="s">
        <v>102</v>
      </c>
      <c r="B15" s="76">
        <v>325000</v>
      </c>
      <c r="C15" t="s">
        <v>101</v>
      </c>
      <c r="D15">
        <v>6</v>
      </c>
      <c r="E15" s="142">
        <v>0.1</v>
      </c>
      <c r="F15" s="76">
        <v>32500</v>
      </c>
      <c r="G15">
        <v>357500</v>
      </c>
      <c r="H15">
        <v>1</v>
      </c>
      <c r="I15">
        <v>0</v>
      </c>
      <c r="J15" t="s">
        <v>96</v>
      </c>
      <c r="K15" t="s">
        <v>100</v>
      </c>
      <c r="M15" s="76">
        <v>100000</v>
      </c>
      <c r="N15" s="76">
        <v>900000</v>
      </c>
    </row>
    <row r="16" spans="1:14" x14ac:dyDescent="0.35">
      <c r="A16" t="s">
        <v>8</v>
      </c>
      <c r="B16" s="76">
        <v>1000000</v>
      </c>
      <c r="C16" t="s">
        <v>103</v>
      </c>
      <c r="D16">
        <v>6</v>
      </c>
      <c r="E16" s="142">
        <v>0.1</v>
      </c>
      <c r="F16" s="76">
        <v>100000</v>
      </c>
      <c r="G16">
        <v>1100000</v>
      </c>
      <c r="H16">
        <v>1</v>
      </c>
      <c r="I16">
        <v>0</v>
      </c>
      <c r="J16" t="s">
        <v>104</v>
      </c>
      <c r="K16" t="s">
        <v>100</v>
      </c>
      <c r="M16" s="76">
        <v>5000000</v>
      </c>
      <c r="N16" s="76">
        <v>1000000</v>
      </c>
    </row>
    <row r="17" spans="1:14" x14ac:dyDescent="0.35">
      <c r="A17" t="s">
        <v>77</v>
      </c>
      <c r="B17" s="76">
        <v>1200000</v>
      </c>
      <c r="C17" t="s">
        <v>103</v>
      </c>
      <c r="D17">
        <v>6</v>
      </c>
      <c r="E17" s="142">
        <v>0.1</v>
      </c>
      <c r="F17" s="76">
        <v>120000</v>
      </c>
      <c r="G17">
        <v>1320000</v>
      </c>
      <c r="H17">
        <v>1</v>
      </c>
      <c r="I17">
        <v>0</v>
      </c>
      <c r="J17" t="s">
        <v>104</v>
      </c>
      <c r="K17" t="s">
        <v>100</v>
      </c>
      <c r="M17" s="76">
        <v>300000</v>
      </c>
      <c r="N17" s="76">
        <v>120000</v>
      </c>
    </row>
    <row r="18" spans="1:14" x14ac:dyDescent="0.35">
      <c r="A18" t="s">
        <v>65</v>
      </c>
      <c r="B18" s="76">
        <v>900000</v>
      </c>
      <c r="C18" t="s">
        <v>105</v>
      </c>
      <c r="D18">
        <v>9</v>
      </c>
      <c r="E18" s="142">
        <v>0.15</v>
      </c>
      <c r="F18" s="76">
        <v>135000</v>
      </c>
      <c r="G18">
        <v>1035000</v>
      </c>
      <c r="H18">
        <v>1</v>
      </c>
      <c r="I18">
        <v>0</v>
      </c>
      <c r="J18" t="s">
        <v>106</v>
      </c>
      <c r="K18" t="s">
        <v>100</v>
      </c>
      <c r="M18" s="76">
        <v>100000</v>
      </c>
    </row>
    <row r="19" spans="1:14" x14ac:dyDescent="0.35">
      <c r="A19" t="s">
        <v>70</v>
      </c>
      <c r="B19" s="76">
        <v>2000000</v>
      </c>
      <c r="C19" t="s">
        <v>108</v>
      </c>
      <c r="D19">
        <v>6</v>
      </c>
      <c r="E19" s="142">
        <v>0.1</v>
      </c>
      <c r="F19" s="76">
        <v>200000</v>
      </c>
      <c r="G19">
        <v>2200000</v>
      </c>
      <c r="H19">
        <v>1</v>
      </c>
      <c r="I19">
        <v>0</v>
      </c>
      <c r="J19" t="s">
        <v>107</v>
      </c>
      <c r="K19" t="s">
        <v>100</v>
      </c>
      <c r="M19" s="76">
        <v>4500</v>
      </c>
    </row>
    <row r="20" spans="1:14" x14ac:dyDescent="0.35">
      <c r="A20" t="s">
        <v>77</v>
      </c>
      <c r="B20" s="76">
        <v>2250000</v>
      </c>
      <c r="C20" t="s">
        <v>110</v>
      </c>
      <c r="D20">
        <v>9</v>
      </c>
      <c r="E20" s="142">
        <v>0.15</v>
      </c>
      <c r="F20" s="76">
        <v>337500</v>
      </c>
      <c r="G20">
        <v>2587500</v>
      </c>
      <c r="H20">
        <v>1</v>
      </c>
      <c r="I20">
        <v>0</v>
      </c>
      <c r="J20" t="s">
        <v>117</v>
      </c>
      <c r="K20" t="s">
        <v>100</v>
      </c>
      <c r="N20" s="76">
        <v>666700</v>
      </c>
    </row>
    <row r="21" spans="1:14" x14ac:dyDescent="0.35">
      <c r="A21" t="s">
        <v>70</v>
      </c>
      <c r="B21" s="76">
        <v>1320000</v>
      </c>
      <c r="C21" t="s">
        <v>120</v>
      </c>
      <c r="D21">
        <v>9</v>
      </c>
      <c r="E21" s="142">
        <v>0.15</v>
      </c>
      <c r="F21" s="76">
        <v>198000</v>
      </c>
      <c r="G21">
        <v>1023000</v>
      </c>
      <c r="H21">
        <v>0.67391304347826086</v>
      </c>
      <c r="I21">
        <v>495000</v>
      </c>
      <c r="J21" t="s">
        <v>121</v>
      </c>
      <c r="K21" t="s">
        <v>82</v>
      </c>
      <c r="N21" s="76">
        <v>603300</v>
      </c>
    </row>
    <row r="22" spans="1:14" x14ac:dyDescent="0.35">
      <c r="A22" t="s">
        <v>119</v>
      </c>
      <c r="B22" s="76">
        <v>50000</v>
      </c>
      <c r="C22" t="s">
        <v>120</v>
      </c>
      <c r="D22">
        <v>3</v>
      </c>
      <c r="E22" s="142">
        <v>0.05</v>
      </c>
      <c r="F22" s="76">
        <v>2500</v>
      </c>
      <c r="G22">
        <v>52500</v>
      </c>
      <c r="H22">
        <v>1</v>
      </c>
      <c r="I22">
        <v>0</v>
      </c>
      <c r="J22" t="s">
        <v>106</v>
      </c>
      <c r="K22" t="s">
        <v>100</v>
      </c>
      <c r="N22" s="76">
        <v>70000</v>
      </c>
    </row>
    <row r="23" spans="1:14" x14ac:dyDescent="0.35">
      <c r="A23" t="s">
        <v>122</v>
      </c>
      <c r="B23" s="76">
        <v>2000000</v>
      </c>
      <c r="C23" t="s">
        <v>123</v>
      </c>
      <c r="D23">
        <v>6</v>
      </c>
      <c r="E23" s="142">
        <v>0.1</v>
      </c>
      <c r="F23" s="76">
        <v>200000</v>
      </c>
      <c r="G23">
        <v>2200000</v>
      </c>
      <c r="H23">
        <v>1</v>
      </c>
      <c r="I23">
        <v>0</v>
      </c>
      <c r="J23" t="s">
        <v>117</v>
      </c>
      <c r="K23" t="s">
        <v>100</v>
      </c>
      <c r="N23" s="76">
        <v>30000</v>
      </c>
    </row>
    <row r="24" spans="1:14" x14ac:dyDescent="0.35">
      <c r="A24" t="s">
        <v>65</v>
      </c>
      <c r="B24" s="76">
        <v>1300000</v>
      </c>
      <c r="C24" t="s">
        <v>124</v>
      </c>
      <c r="D24">
        <v>3</v>
      </c>
      <c r="E24" s="142">
        <v>0.05</v>
      </c>
      <c r="F24" s="76">
        <v>65000</v>
      </c>
      <c r="G24">
        <v>1365000</v>
      </c>
      <c r="H24">
        <v>1</v>
      </c>
      <c r="I24">
        <v>0</v>
      </c>
      <c r="J24" t="s">
        <v>177</v>
      </c>
      <c r="K24" t="s">
        <v>100</v>
      </c>
    </row>
    <row r="25" spans="1:14" x14ac:dyDescent="0.35">
      <c r="A25" t="s">
        <v>102</v>
      </c>
      <c r="B25" s="76">
        <v>350000</v>
      </c>
      <c r="C25" t="s">
        <v>125</v>
      </c>
      <c r="D25">
        <v>6</v>
      </c>
      <c r="E25" s="142">
        <v>0.1</v>
      </c>
      <c r="F25" s="76">
        <v>35000</v>
      </c>
      <c r="G25">
        <v>175000</v>
      </c>
      <c r="H25">
        <v>0.45454545454545453</v>
      </c>
      <c r="I25">
        <v>210000</v>
      </c>
      <c r="J25" t="s">
        <v>121</v>
      </c>
      <c r="K25" t="s">
        <v>82</v>
      </c>
      <c r="M25" s="76">
        <f>+SUM(M14:M22)</f>
        <v>6399500</v>
      </c>
      <c r="N25" s="76">
        <f>+SUM(N14:N23)</f>
        <v>3790000</v>
      </c>
    </row>
    <row r="26" spans="1:14" x14ac:dyDescent="0.35">
      <c r="A26" t="s">
        <v>119</v>
      </c>
      <c r="B26" s="76">
        <v>100000</v>
      </c>
      <c r="C26" t="s">
        <v>126</v>
      </c>
      <c r="D26">
        <v>3</v>
      </c>
      <c r="E26" s="142">
        <v>0.05</v>
      </c>
      <c r="F26" s="76">
        <v>5000</v>
      </c>
      <c r="G26">
        <v>75000</v>
      </c>
      <c r="H26">
        <v>0.7142857142857143</v>
      </c>
      <c r="I26">
        <v>30000</v>
      </c>
      <c r="J26" t="s">
        <v>117</v>
      </c>
      <c r="K26" t="s">
        <v>82</v>
      </c>
      <c r="N26" s="76">
        <f>+N25-M25</f>
        <v>-2609500</v>
      </c>
    </row>
    <row r="27" spans="1:14" x14ac:dyDescent="0.35">
      <c r="A27" t="s">
        <v>8</v>
      </c>
      <c r="B27" s="76">
        <v>2000000</v>
      </c>
      <c r="C27" t="s">
        <v>176</v>
      </c>
      <c r="D27">
        <v>3</v>
      </c>
      <c r="E27" s="142">
        <v>0.05</v>
      </c>
      <c r="F27" s="76">
        <v>100000</v>
      </c>
      <c r="G27">
        <v>766700</v>
      </c>
      <c r="H27">
        <v>0.36509523809523808</v>
      </c>
      <c r="I27">
        <v>1333300</v>
      </c>
      <c r="J27" t="s">
        <v>118</v>
      </c>
      <c r="K27" t="s">
        <v>82</v>
      </c>
      <c r="M27" s="76">
        <v>9192191</v>
      </c>
    </row>
    <row r="28" spans="1:14" x14ac:dyDescent="0.35">
      <c r="A28" t="s">
        <v>81</v>
      </c>
      <c r="B28" s="76">
        <v>19063675</v>
      </c>
      <c r="F28" s="76">
        <v>2043530</v>
      </c>
      <c r="G28">
        <v>18902647.9504303</v>
      </c>
      <c r="H28">
        <v>0.89555428823618755</v>
      </c>
      <c r="I28">
        <v>2204557.0495696999</v>
      </c>
      <c r="N28" s="76">
        <f>+M27+N26</f>
        <v>6582691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253D-1ED6-4870-A9D4-09BA6068456E}">
  <sheetPr codeName="Feuil14"/>
  <dimension ref="A1:A7"/>
  <sheetViews>
    <sheetView workbookViewId="0">
      <selection sqref="A1:A7"/>
    </sheetView>
  </sheetViews>
  <sheetFormatPr baseColWidth="10" defaultRowHeight="14.5" x14ac:dyDescent="0.35"/>
  <sheetData>
    <row r="1" spans="1:1" x14ac:dyDescent="0.35">
      <c r="A1">
        <v>158000</v>
      </c>
    </row>
    <row r="2" spans="1:1" x14ac:dyDescent="0.35">
      <c r="A2">
        <v>0</v>
      </c>
    </row>
    <row r="3" spans="1:1" x14ac:dyDescent="0.35">
      <c r="A3">
        <v>0</v>
      </c>
    </row>
    <row r="4" spans="1:1" x14ac:dyDescent="0.35">
      <c r="A4">
        <v>0</v>
      </c>
    </row>
    <row r="5" spans="1:1" x14ac:dyDescent="0.35">
      <c r="A5">
        <v>113030</v>
      </c>
    </row>
    <row r="6" spans="1:1" x14ac:dyDescent="0.35">
      <c r="A6">
        <v>138900</v>
      </c>
    </row>
    <row r="7" spans="1:1" x14ac:dyDescent="0.35">
      <c r="A7">
        <v>225000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017B4-4A8D-4575-A68D-AC2DCCB9242B}">
  <sheetPr>
    <tabColor rgb="FF7030A0"/>
  </sheetPr>
  <dimension ref="A1:M407"/>
  <sheetViews>
    <sheetView showGridLines="0" topLeftCell="A9" workbookViewId="0">
      <selection activeCell="D54" sqref="D54"/>
    </sheetView>
  </sheetViews>
  <sheetFormatPr baseColWidth="10" defaultRowHeight="17.5" x14ac:dyDescent="0.35"/>
  <cols>
    <col min="1" max="1" width="10.90625" style="8"/>
    <col min="2" max="2" width="11.81640625" style="8" customWidth="1"/>
    <col min="3" max="3" width="14.1796875" style="8" customWidth="1"/>
    <col min="4" max="5" width="10.90625" style="8"/>
    <col min="6" max="6" width="3.54296875" style="8" customWidth="1"/>
    <col min="7" max="8" width="10.90625" style="8"/>
    <col min="9" max="9" width="14.453125" style="8" customWidth="1"/>
    <col min="10" max="10" width="10.90625" style="8"/>
    <col min="11" max="11" width="15.26953125" style="8" bestFit="1" customWidth="1"/>
    <col min="12" max="13" width="10.90625" style="8"/>
  </cols>
  <sheetData>
    <row r="1" spans="1:13" ht="7.5" customHeight="1" x14ac:dyDescent="0.35">
      <c r="A1" s="269" t="s">
        <v>50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</row>
    <row r="2" spans="1:13" ht="13.5" customHeight="1" x14ac:dyDescent="0.35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</row>
    <row r="3" spans="1:13" ht="15" hidden="1" customHeight="1" x14ac:dyDescent="0.35">
      <c r="A3" s="269"/>
      <c r="B3" s="269"/>
      <c r="C3" s="269"/>
      <c r="D3" s="269"/>
      <c r="E3" s="269"/>
      <c r="F3" s="269"/>
      <c r="G3" s="269"/>
      <c r="H3" s="269"/>
      <c r="I3" s="269"/>
      <c r="J3" s="269"/>
      <c r="K3" s="269"/>
    </row>
    <row r="4" spans="1:13" ht="5.25" customHeight="1" x14ac:dyDescent="0.35"/>
    <row r="5" spans="1:13" ht="13.5" customHeight="1" x14ac:dyDescent="0.35">
      <c r="A5" s="34" t="s">
        <v>52</v>
      </c>
    </row>
    <row r="6" spans="1:13" ht="5.25" customHeight="1" thickBot="1" x14ac:dyDescent="0.4">
      <c r="A6" s="34"/>
    </row>
    <row r="7" spans="1:13" s="23" customFormat="1" ht="16.5" thickTop="1" thickBot="1" x14ac:dyDescent="0.4">
      <c r="A7" s="270" t="s">
        <v>44</v>
      </c>
      <c r="B7" s="270"/>
      <c r="C7" s="270"/>
      <c r="D7" s="270"/>
      <c r="E7" s="271" t="s">
        <v>27</v>
      </c>
      <c r="F7" s="272"/>
      <c r="G7" s="273"/>
      <c r="I7" s="36" t="s">
        <v>46</v>
      </c>
      <c r="J7" s="274" t="s">
        <v>260</v>
      </c>
      <c r="K7" s="275"/>
      <c r="M7" s="28"/>
    </row>
    <row r="8" spans="1:13" ht="5.25" customHeight="1" thickTop="1" thickBot="1" x14ac:dyDescent="0.4"/>
    <row r="9" spans="1:13" ht="18.5" thickTop="1" thickBot="1" x14ac:dyDescent="0.4">
      <c r="H9" s="267" t="s">
        <v>53</v>
      </c>
      <c r="I9" s="268"/>
      <c r="J9" s="276">
        <v>46793</v>
      </c>
      <c r="K9" s="277"/>
    </row>
    <row r="10" spans="1:13" ht="18.5" thickTop="1" thickBot="1" x14ac:dyDescent="0.4">
      <c r="J10" s="45"/>
      <c r="K10" s="37"/>
    </row>
    <row r="11" spans="1:13" s="3" customFormat="1" ht="16.5" thickTop="1" thickBot="1" x14ac:dyDescent="0.4">
      <c r="A11" s="270" t="s">
        <v>45</v>
      </c>
      <c r="B11" s="270"/>
      <c r="C11" s="270"/>
      <c r="D11" s="271" t="s">
        <v>202</v>
      </c>
      <c r="E11" s="272"/>
      <c r="F11" s="272"/>
      <c r="G11" s="273"/>
      <c r="H11" s="23"/>
      <c r="I11" s="31" t="s">
        <v>47</v>
      </c>
      <c r="J11" s="271"/>
      <c r="K11" s="273"/>
      <c r="L11" s="23"/>
      <c r="M11" s="23"/>
    </row>
    <row r="12" spans="1:13" s="4" customFormat="1" ht="16.5" thickTop="1" thickBot="1" x14ac:dyDescent="0.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s="25" customFormat="1" ht="16.5" thickTop="1" thickBot="1" x14ac:dyDescent="0.4">
      <c r="A13" s="52" t="s">
        <v>76</v>
      </c>
      <c r="B13" s="46"/>
      <c r="C13" s="35">
        <v>3000000</v>
      </c>
      <c r="D13" s="267" t="s">
        <v>49</v>
      </c>
      <c r="E13" s="267"/>
      <c r="F13" s="32">
        <v>24</v>
      </c>
      <c r="G13" s="30" t="s">
        <v>48</v>
      </c>
      <c r="H13" s="278" t="s">
        <v>57</v>
      </c>
      <c r="I13" s="279"/>
      <c r="J13" s="33">
        <f>IF(C13&lt;1000000,F13*1.5%,F13%)</f>
        <v>0.24</v>
      </c>
      <c r="K13" s="24"/>
      <c r="L13" s="24"/>
      <c r="M13" s="24"/>
    </row>
    <row r="14" spans="1:13" s="4" customFormat="1" ht="16.5" thickTop="1" thickBot="1" x14ac:dyDescent="0.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s="3" customFormat="1" ht="16.5" thickTop="1" thickBot="1" x14ac:dyDescent="0.4">
      <c r="A15" s="23"/>
      <c r="B15" s="23"/>
      <c r="C15" s="23"/>
      <c r="D15" s="23"/>
      <c r="E15" s="23"/>
      <c r="F15" s="23"/>
      <c r="G15" s="23"/>
      <c r="H15" s="267" t="s">
        <v>26</v>
      </c>
      <c r="I15" s="268"/>
      <c r="J15" s="27">
        <f>C13*J13</f>
        <v>720000</v>
      </c>
      <c r="K15" s="23"/>
      <c r="L15" s="23"/>
      <c r="M15" s="23"/>
    </row>
    <row r="16" spans="1:13" s="4" customFormat="1" ht="16.5" thickTop="1" thickBot="1" x14ac:dyDescent="0.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s="4" customFormat="1" ht="18.75" customHeight="1" thickTop="1" thickBot="1" x14ac:dyDescent="0.4">
      <c r="A17" s="280" t="s">
        <v>51</v>
      </c>
      <c r="B17" s="280"/>
      <c r="C17" s="280"/>
      <c r="D17" s="280"/>
      <c r="E17" s="280"/>
      <c r="F17" s="15"/>
      <c r="G17" s="282" t="s">
        <v>73</v>
      </c>
      <c r="H17" s="282"/>
      <c r="I17" s="283"/>
      <c r="J17" s="51">
        <f>C13+J15</f>
        <v>3720000</v>
      </c>
      <c r="K17" s="15"/>
      <c r="L17" s="15"/>
      <c r="M17" s="15"/>
    </row>
    <row r="18" spans="1:13" s="4" customFormat="1" ht="13.5" customHeight="1" thickTop="1" thickBot="1" x14ac:dyDescent="0.4">
      <c r="A18" s="281"/>
      <c r="B18" s="281"/>
      <c r="C18" s="281"/>
      <c r="D18" s="281"/>
      <c r="E18" s="281"/>
      <c r="F18" s="15"/>
      <c r="G18" s="15"/>
      <c r="H18" s="15"/>
      <c r="I18" s="15"/>
      <c r="J18" s="15"/>
      <c r="K18" s="15"/>
      <c r="L18" s="15"/>
      <c r="M18" s="15"/>
    </row>
    <row r="19" spans="1:13" s="4" customFormat="1" ht="42.75" customHeight="1" thickTop="1" thickBot="1" x14ac:dyDescent="0.45">
      <c r="A19" s="284" t="s">
        <v>196</v>
      </c>
      <c r="B19" s="285"/>
      <c r="C19" s="38" t="s">
        <v>54</v>
      </c>
      <c r="D19" s="39" t="s">
        <v>55</v>
      </c>
      <c r="E19" s="40" t="s">
        <v>56</v>
      </c>
      <c r="F19" s="15"/>
      <c r="G19" s="26"/>
      <c r="H19" s="15"/>
      <c r="I19" s="15"/>
      <c r="J19" s="15"/>
      <c r="K19" s="15"/>
      <c r="L19" s="15"/>
      <c r="M19" s="15"/>
    </row>
    <row r="20" spans="1:13" s="4" customFormat="1" ht="16" thickBot="1" x14ac:dyDescent="0.4">
      <c r="A20" s="286">
        <v>46023</v>
      </c>
      <c r="B20" s="287"/>
      <c r="C20" s="41"/>
      <c r="D20" s="44"/>
      <c r="E20" s="43">
        <f t="shared" ref="E20:E45" si="0">C20-D20</f>
        <v>0</v>
      </c>
      <c r="F20" s="15"/>
      <c r="G20" s="15"/>
      <c r="H20" s="15"/>
      <c r="I20" s="15"/>
      <c r="J20" s="15"/>
      <c r="K20" s="15"/>
      <c r="L20" s="15"/>
      <c r="M20" s="15"/>
    </row>
    <row r="21" spans="1:13" s="4" customFormat="1" ht="16" thickBot="1" x14ac:dyDescent="0.4">
      <c r="A21" s="286">
        <v>46054</v>
      </c>
      <c r="B21" s="287"/>
      <c r="C21" s="41"/>
      <c r="D21" s="44"/>
      <c r="E21" s="43">
        <f t="shared" si="0"/>
        <v>0</v>
      </c>
      <c r="F21" s="15"/>
      <c r="G21" s="15"/>
      <c r="H21" s="15"/>
      <c r="I21" s="15"/>
      <c r="J21" s="15"/>
      <c r="K21" s="15"/>
      <c r="L21" s="15"/>
      <c r="M21" s="15"/>
    </row>
    <row r="22" spans="1:13" s="4" customFormat="1" ht="16" thickBot="1" x14ac:dyDescent="0.4">
      <c r="A22" s="286">
        <v>46082</v>
      </c>
      <c r="B22" s="287"/>
      <c r="C22" s="41">
        <v>155000</v>
      </c>
      <c r="D22" s="44"/>
      <c r="E22" s="43">
        <f t="shared" si="0"/>
        <v>155000</v>
      </c>
      <c r="F22" s="15"/>
      <c r="G22" s="15"/>
      <c r="H22" s="15"/>
      <c r="I22" s="15"/>
      <c r="J22" s="15"/>
      <c r="K22" s="15"/>
      <c r="L22" s="15"/>
      <c r="M22" s="15"/>
    </row>
    <row r="23" spans="1:13" s="4" customFormat="1" ht="16" thickBot="1" x14ac:dyDescent="0.4">
      <c r="A23" s="286">
        <v>46113</v>
      </c>
      <c r="B23" s="287"/>
      <c r="C23" s="41">
        <v>155000</v>
      </c>
      <c r="D23" s="44"/>
      <c r="E23" s="43">
        <f t="shared" si="0"/>
        <v>155000</v>
      </c>
      <c r="F23" s="15"/>
      <c r="G23" s="15"/>
      <c r="H23" s="15"/>
      <c r="I23" s="15"/>
      <c r="J23" s="15"/>
      <c r="K23" s="15"/>
      <c r="L23" s="15"/>
      <c r="M23" s="15"/>
    </row>
    <row r="24" spans="1:13" s="4" customFormat="1" ht="16" thickBot="1" x14ac:dyDescent="0.4">
      <c r="A24" s="286">
        <v>46143</v>
      </c>
      <c r="B24" s="287"/>
      <c r="C24" s="41">
        <v>155000</v>
      </c>
      <c r="D24" s="44"/>
      <c r="E24" s="43">
        <f t="shared" si="0"/>
        <v>155000</v>
      </c>
      <c r="F24" s="15"/>
      <c r="G24" s="15"/>
      <c r="H24" s="15"/>
      <c r="I24" s="15"/>
      <c r="J24" s="15"/>
      <c r="K24" s="15"/>
      <c r="L24" s="15"/>
      <c r="M24" s="15"/>
    </row>
    <row r="25" spans="1:13" s="4" customFormat="1" ht="16" thickBot="1" x14ac:dyDescent="0.4">
      <c r="A25" s="286">
        <v>46174</v>
      </c>
      <c r="B25" s="287"/>
      <c r="C25" s="41">
        <v>155000</v>
      </c>
      <c r="D25" s="44"/>
      <c r="E25" s="43">
        <f t="shared" si="0"/>
        <v>155000</v>
      </c>
      <c r="F25" s="15"/>
      <c r="G25" s="15"/>
      <c r="H25" s="15"/>
      <c r="I25" s="15"/>
      <c r="J25" s="15"/>
      <c r="K25" s="15"/>
      <c r="L25" s="15"/>
      <c r="M25" s="15"/>
    </row>
    <row r="26" spans="1:13" s="4" customFormat="1" ht="16" thickBot="1" x14ac:dyDescent="0.4">
      <c r="A26" s="286">
        <v>46204</v>
      </c>
      <c r="B26" s="287"/>
      <c r="C26" s="41">
        <v>155000</v>
      </c>
      <c r="D26" s="44"/>
      <c r="E26" s="43">
        <f t="shared" si="0"/>
        <v>155000</v>
      </c>
      <c r="F26" s="15"/>
      <c r="G26" s="15"/>
      <c r="H26" s="15"/>
      <c r="I26" s="15"/>
      <c r="J26" s="15"/>
      <c r="K26" s="15"/>
      <c r="L26" s="15"/>
      <c r="M26" s="15"/>
    </row>
    <row r="27" spans="1:13" s="4" customFormat="1" ht="16" thickBot="1" x14ac:dyDescent="0.4">
      <c r="A27" s="286">
        <v>46235</v>
      </c>
      <c r="B27" s="287"/>
      <c r="C27" s="41">
        <v>155000</v>
      </c>
      <c r="D27" s="44"/>
      <c r="E27" s="43">
        <f t="shared" si="0"/>
        <v>155000</v>
      </c>
      <c r="F27" s="15"/>
      <c r="G27" s="15"/>
      <c r="H27" s="15"/>
      <c r="I27" s="15"/>
      <c r="J27" s="15"/>
      <c r="K27" s="15"/>
      <c r="L27" s="15"/>
      <c r="M27" s="15"/>
    </row>
    <row r="28" spans="1:13" s="4" customFormat="1" ht="16" thickBot="1" x14ac:dyDescent="0.4">
      <c r="A28" s="286">
        <v>46266</v>
      </c>
      <c r="B28" s="287"/>
      <c r="C28" s="41">
        <v>155000</v>
      </c>
      <c r="D28" s="44"/>
      <c r="E28" s="43">
        <f t="shared" si="0"/>
        <v>155000</v>
      </c>
      <c r="F28" s="15"/>
      <c r="G28" s="15"/>
      <c r="H28" s="15"/>
      <c r="I28" s="15"/>
      <c r="J28" s="15"/>
      <c r="K28" s="15"/>
      <c r="L28" s="15"/>
      <c r="M28" s="15"/>
    </row>
    <row r="29" spans="1:13" s="4" customFormat="1" ht="16" thickBot="1" x14ac:dyDescent="0.4">
      <c r="A29" s="286">
        <v>46296</v>
      </c>
      <c r="B29" s="287"/>
      <c r="C29" s="41">
        <v>155000</v>
      </c>
      <c r="D29" s="44"/>
      <c r="E29" s="43">
        <f t="shared" si="0"/>
        <v>155000</v>
      </c>
      <c r="F29" s="15"/>
      <c r="G29" s="15"/>
      <c r="H29" s="15"/>
      <c r="I29" s="15"/>
      <c r="J29" s="15"/>
      <c r="K29" s="15"/>
      <c r="L29" s="15"/>
      <c r="M29" s="15"/>
    </row>
    <row r="30" spans="1:13" s="4" customFormat="1" ht="16" thickBot="1" x14ac:dyDescent="0.4">
      <c r="A30" s="286">
        <v>46327</v>
      </c>
      <c r="B30" s="287"/>
      <c r="C30" s="41">
        <v>155000</v>
      </c>
      <c r="D30" s="44"/>
      <c r="E30" s="43">
        <f t="shared" si="0"/>
        <v>155000</v>
      </c>
      <c r="F30" s="15"/>
      <c r="G30" s="15"/>
      <c r="H30" s="15"/>
      <c r="I30" s="15"/>
      <c r="J30" s="15"/>
      <c r="K30" s="15"/>
      <c r="L30" s="15"/>
      <c r="M30" s="15"/>
    </row>
    <row r="31" spans="1:13" s="4" customFormat="1" ht="16" thickBot="1" x14ac:dyDescent="0.4">
      <c r="A31" s="286">
        <v>46357</v>
      </c>
      <c r="B31" s="287"/>
      <c r="C31" s="41">
        <v>155000</v>
      </c>
      <c r="D31" s="44"/>
      <c r="E31" s="43">
        <f t="shared" si="0"/>
        <v>155000</v>
      </c>
      <c r="F31" s="15"/>
      <c r="G31" s="15"/>
      <c r="H31" s="15"/>
      <c r="I31" s="15"/>
      <c r="J31" s="15"/>
      <c r="K31" s="15"/>
      <c r="L31" s="15"/>
      <c r="M31" s="15"/>
    </row>
    <row r="32" spans="1:13" s="4" customFormat="1" ht="16" thickBot="1" x14ac:dyDescent="0.4">
      <c r="A32" s="286">
        <v>46388</v>
      </c>
      <c r="B32" s="287"/>
      <c r="C32" s="41">
        <v>155000</v>
      </c>
      <c r="D32" s="44"/>
      <c r="E32" s="43">
        <f t="shared" si="0"/>
        <v>155000</v>
      </c>
      <c r="F32" s="15"/>
      <c r="G32" s="15"/>
      <c r="H32" s="15"/>
      <c r="I32" s="15"/>
      <c r="J32" s="15"/>
      <c r="K32" s="15"/>
      <c r="L32" s="15"/>
      <c r="M32" s="15"/>
    </row>
    <row r="33" spans="1:13" s="4" customFormat="1" ht="16" thickBot="1" x14ac:dyDescent="0.4">
      <c r="A33" s="286">
        <v>46419</v>
      </c>
      <c r="B33" s="287"/>
      <c r="C33" s="41">
        <v>155000</v>
      </c>
      <c r="D33" s="44"/>
      <c r="E33" s="43">
        <f t="shared" si="0"/>
        <v>155000</v>
      </c>
      <c r="F33" s="15"/>
      <c r="G33" s="15"/>
      <c r="H33" s="15"/>
      <c r="I33" s="15"/>
      <c r="J33" s="15"/>
      <c r="K33" s="15"/>
      <c r="L33" s="15"/>
      <c r="M33" s="15"/>
    </row>
    <row r="34" spans="1:13" s="4" customFormat="1" ht="16" thickBot="1" x14ac:dyDescent="0.4">
      <c r="A34" s="286">
        <v>46447</v>
      </c>
      <c r="B34" s="287"/>
      <c r="C34" s="41">
        <v>155000</v>
      </c>
      <c r="D34" s="44"/>
      <c r="E34" s="43">
        <f t="shared" si="0"/>
        <v>155000</v>
      </c>
      <c r="F34" s="15"/>
      <c r="G34" s="15"/>
      <c r="H34" s="15"/>
      <c r="I34" s="15"/>
      <c r="J34" s="15"/>
      <c r="K34" s="15"/>
      <c r="L34" s="15"/>
      <c r="M34" s="15"/>
    </row>
    <row r="35" spans="1:13" s="4" customFormat="1" ht="16" thickBot="1" x14ac:dyDescent="0.4">
      <c r="A35" s="286">
        <v>46478</v>
      </c>
      <c r="B35" s="287"/>
      <c r="C35" s="41">
        <v>155000</v>
      </c>
      <c r="D35" s="44"/>
      <c r="E35" s="43">
        <f t="shared" si="0"/>
        <v>155000</v>
      </c>
      <c r="F35" s="15"/>
      <c r="G35" s="15"/>
      <c r="H35" s="15"/>
      <c r="I35" s="15"/>
      <c r="J35" s="15"/>
      <c r="K35" s="15"/>
      <c r="L35" s="15"/>
      <c r="M35" s="15"/>
    </row>
    <row r="36" spans="1:13" s="4" customFormat="1" ht="16" thickBot="1" x14ac:dyDescent="0.4">
      <c r="A36" s="286">
        <v>46508</v>
      </c>
      <c r="B36" s="287"/>
      <c r="C36" s="41">
        <v>155000</v>
      </c>
      <c r="D36" s="44"/>
      <c r="E36" s="43">
        <f t="shared" si="0"/>
        <v>155000</v>
      </c>
      <c r="F36" s="15"/>
      <c r="G36" s="15"/>
      <c r="H36" s="15"/>
      <c r="I36" s="15"/>
      <c r="J36" s="15"/>
      <c r="K36" s="15"/>
      <c r="L36" s="15"/>
      <c r="M36" s="15"/>
    </row>
    <row r="37" spans="1:13" s="4" customFormat="1" ht="16" thickBot="1" x14ac:dyDescent="0.4">
      <c r="A37" s="286">
        <v>46539</v>
      </c>
      <c r="B37" s="287"/>
      <c r="C37" s="41">
        <v>155000</v>
      </c>
      <c r="D37" s="44"/>
      <c r="E37" s="43">
        <f t="shared" si="0"/>
        <v>155000</v>
      </c>
      <c r="F37" s="15"/>
      <c r="G37" s="15"/>
      <c r="H37" s="15"/>
      <c r="I37" s="15"/>
      <c r="J37" s="15"/>
      <c r="K37" s="15"/>
      <c r="L37" s="15"/>
      <c r="M37" s="15"/>
    </row>
    <row r="38" spans="1:13" s="4" customFormat="1" ht="16" thickBot="1" x14ac:dyDescent="0.4">
      <c r="A38" s="286">
        <v>46569</v>
      </c>
      <c r="B38" s="287"/>
      <c r="C38" s="41">
        <v>155000</v>
      </c>
      <c r="D38" s="44"/>
      <c r="E38" s="43">
        <f t="shared" si="0"/>
        <v>155000</v>
      </c>
      <c r="F38" s="15"/>
      <c r="G38" s="15"/>
      <c r="H38" s="15"/>
      <c r="I38" s="15"/>
      <c r="J38" s="15"/>
      <c r="K38" s="15"/>
      <c r="L38" s="15"/>
      <c r="M38" s="15"/>
    </row>
    <row r="39" spans="1:13" s="4" customFormat="1" ht="16" thickBot="1" x14ac:dyDescent="0.4">
      <c r="A39" s="286">
        <v>46600</v>
      </c>
      <c r="B39" s="287"/>
      <c r="C39" s="41">
        <v>155000</v>
      </c>
      <c r="D39" s="44"/>
      <c r="E39" s="43">
        <f t="shared" si="0"/>
        <v>155000</v>
      </c>
      <c r="F39" s="15"/>
      <c r="G39" s="15"/>
      <c r="H39" s="15"/>
      <c r="I39" s="15"/>
      <c r="J39" s="15"/>
      <c r="K39" s="15"/>
      <c r="L39" s="15"/>
      <c r="M39" s="15"/>
    </row>
    <row r="40" spans="1:13" s="4" customFormat="1" ht="16" thickBot="1" x14ac:dyDescent="0.4">
      <c r="A40" s="286">
        <v>46631</v>
      </c>
      <c r="B40" s="287"/>
      <c r="C40" s="41">
        <v>155000</v>
      </c>
      <c r="D40" s="44"/>
      <c r="E40" s="43">
        <f t="shared" si="0"/>
        <v>155000</v>
      </c>
      <c r="F40" s="15"/>
      <c r="G40" s="15"/>
      <c r="H40" s="15"/>
      <c r="I40" s="15"/>
      <c r="J40" s="15"/>
      <c r="K40" s="15"/>
      <c r="L40" s="15"/>
      <c r="M40" s="15"/>
    </row>
    <row r="41" spans="1:13" s="4" customFormat="1" ht="16" thickBot="1" x14ac:dyDescent="0.4">
      <c r="A41" s="286">
        <v>46661</v>
      </c>
      <c r="B41" s="287"/>
      <c r="C41" s="41">
        <v>155000</v>
      </c>
      <c r="D41" s="44"/>
      <c r="E41" s="43">
        <f t="shared" si="0"/>
        <v>155000</v>
      </c>
      <c r="F41" s="15"/>
      <c r="G41" s="15"/>
      <c r="H41" s="15"/>
      <c r="I41" s="15"/>
      <c r="J41" s="15"/>
      <c r="K41" s="15"/>
      <c r="L41" s="15"/>
      <c r="M41" s="15"/>
    </row>
    <row r="42" spans="1:13" s="4" customFormat="1" ht="16" thickBot="1" x14ac:dyDescent="0.4">
      <c r="A42" s="286">
        <v>46692</v>
      </c>
      <c r="B42" s="287"/>
      <c r="C42" s="41">
        <v>155000</v>
      </c>
      <c r="D42" s="44"/>
      <c r="E42" s="43">
        <f t="shared" si="0"/>
        <v>155000</v>
      </c>
      <c r="F42" s="15"/>
      <c r="G42" s="15"/>
      <c r="H42" s="15"/>
      <c r="I42" s="15"/>
      <c r="J42" s="15"/>
      <c r="K42" s="15"/>
      <c r="L42" s="15"/>
      <c r="M42" s="15"/>
    </row>
    <row r="43" spans="1:13" s="4" customFormat="1" ht="16" thickBot="1" x14ac:dyDescent="0.4">
      <c r="A43" s="286">
        <v>46722</v>
      </c>
      <c r="B43" s="287"/>
      <c r="C43" s="41">
        <v>155000</v>
      </c>
      <c r="D43" s="44"/>
      <c r="E43" s="43">
        <f t="shared" si="0"/>
        <v>155000</v>
      </c>
      <c r="F43" s="15"/>
      <c r="G43" s="15"/>
      <c r="H43" s="15"/>
      <c r="I43" s="15"/>
      <c r="J43" s="15"/>
      <c r="K43" s="15"/>
      <c r="L43" s="15"/>
      <c r="M43" s="15"/>
    </row>
    <row r="44" spans="1:13" s="4" customFormat="1" ht="16" thickBot="1" x14ac:dyDescent="0.4">
      <c r="A44" s="286">
        <v>46753</v>
      </c>
      <c r="B44" s="287"/>
      <c r="C44" s="41">
        <v>155000</v>
      </c>
      <c r="D44" s="44"/>
      <c r="E44" s="43">
        <f t="shared" si="0"/>
        <v>155000</v>
      </c>
      <c r="F44" s="15"/>
      <c r="G44" s="15"/>
      <c r="H44" s="15"/>
      <c r="I44" s="15"/>
      <c r="J44" s="15"/>
      <c r="K44" s="15"/>
      <c r="L44" s="15"/>
      <c r="M44" s="15"/>
    </row>
    <row r="45" spans="1:13" s="4" customFormat="1" ht="16" thickBot="1" x14ac:dyDescent="0.4">
      <c r="A45" s="286">
        <v>46784</v>
      </c>
      <c r="B45" s="287"/>
      <c r="C45" s="41">
        <v>155000</v>
      </c>
      <c r="D45" s="44"/>
      <c r="E45" s="43">
        <f t="shared" si="0"/>
        <v>155000</v>
      </c>
      <c r="F45" s="15"/>
      <c r="G45" s="15"/>
      <c r="H45" s="15"/>
      <c r="I45" s="15"/>
      <c r="J45" s="15"/>
      <c r="K45" s="15"/>
      <c r="L45" s="15"/>
      <c r="M45" s="15"/>
    </row>
    <row r="46" spans="1:13" s="3" customFormat="1" ht="20.25" customHeight="1" thickBot="1" x14ac:dyDescent="0.4">
      <c r="A46" s="288" t="s">
        <v>43</v>
      </c>
      <c r="B46" s="289"/>
      <c r="C46" s="29">
        <f>SUM(C20:C45)</f>
        <v>3720000</v>
      </c>
      <c r="D46" s="29">
        <f>SUM(D20:D45)</f>
        <v>0</v>
      </c>
      <c r="E46" s="29">
        <f>SUM(E20:E45)</f>
        <v>3720000</v>
      </c>
      <c r="F46" s="23"/>
      <c r="G46" s="23"/>
      <c r="H46" s="23"/>
      <c r="I46" s="23"/>
      <c r="J46" s="23"/>
      <c r="K46" s="23"/>
      <c r="L46" s="23"/>
      <c r="M46" s="23"/>
    </row>
    <row r="47" spans="1:13" s="4" customFormat="1" ht="16" thickTop="1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s="4" customFormat="1" ht="15.5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s="4" customFormat="1" ht="15.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s="4" customFormat="1" ht="15.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s="4" customFormat="1" ht="15.5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s="4" customFormat="1" ht="15.5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s="4" customFormat="1" ht="15.5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s="4" customFormat="1" ht="15.5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s="4" customFormat="1" ht="15.5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 s="4" customFormat="1" ht="15.5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s="4" customFormat="1" ht="15.5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 s="4" customFormat="1" ht="15.5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s="4" customFormat="1" ht="15.5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s="4" customFormat="1" ht="15.5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s="4" customFormat="1" ht="15.5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 s="4" customFormat="1" ht="15.5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s="4" customFormat="1" ht="15.5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 s="4" customFormat="1" ht="15.5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s="4" customFormat="1" ht="15.5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s="4" customFormat="1" ht="15.5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s="4" customFormat="1" ht="15.5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s="4" customFormat="1" ht="15.5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s="4" customFormat="1" ht="15.5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s="4" customFormat="1" ht="15.5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s="4" customFormat="1" ht="15.5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s="4" customFormat="1" ht="15.5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s="4" customFormat="1" ht="15.5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s="4" customFormat="1" ht="15.5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 s="4" customFormat="1" ht="15.5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s="4" customFormat="1" ht="15.5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s="4" customFormat="1" ht="15.5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 s="4" customFormat="1" ht="15.5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s="4" customFormat="1" ht="15.5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s="4" customFormat="1" ht="15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s="4" customFormat="1" ht="15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s="4" customFormat="1" ht="15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 s="4" customFormat="1" ht="15.5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s="4" customFormat="1" ht="15.5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1:13" s="4" customFormat="1" ht="15.5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1:13" s="4" customFormat="1" ht="15.5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 s="4" customFormat="1" ht="15.5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 s="4" customFormat="1" ht="15.5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s="4" customFormat="1" ht="15.5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 s="4" customFormat="1" ht="15.5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 s="4" customFormat="1" ht="15.5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 s="4" customFormat="1" ht="15.5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 s="4" customFormat="1" ht="15.5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1:13" s="4" customFormat="1" ht="15.5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s="4" customFormat="1" ht="15.5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 s="4" customFormat="1" ht="15.5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s="4" customFormat="1" ht="15.5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s="4" customFormat="1" ht="15.5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1:13" s="4" customFormat="1" ht="15.5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 s="4" customFormat="1" ht="15.5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s="4" customFormat="1" ht="15.5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1:13" s="4" customFormat="1" ht="15.5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s="4" customFormat="1" ht="15.5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s="4" customFormat="1" ht="15.5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1:13" s="4" customFormat="1" ht="15.5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1:13" s="4" customFormat="1" ht="15.5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1:13" s="4" customFormat="1" ht="15.5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 s="4" customFormat="1" ht="15.5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1:13" s="4" customFormat="1" ht="15.5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s="4" customFormat="1" ht="15.5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1:13" s="4" customFormat="1" ht="15.5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 s="4" customFormat="1" ht="15.5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1:13" s="4" customFormat="1" ht="15.5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 s="4" customFormat="1" ht="15.5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 s="4" customFormat="1" ht="15.5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 s="4" customFormat="1" ht="15.5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 s="4" customFormat="1" ht="15.5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 s="4" customFormat="1" ht="15.5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 s="4" customFormat="1" ht="15.5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 s="4" customFormat="1" ht="15.5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 s="4" customFormat="1" ht="15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1:13" s="4" customFormat="1" ht="15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1:13" s="4" customFormat="1" ht="15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1:13" s="4" customFormat="1" ht="15.5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1:13" s="4" customFormat="1" ht="15.5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1:13" s="4" customFormat="1" ht="15.5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 s="4" customFormat="1" ht="15.5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1:13" s="4" customFormat="1" ht="15.5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s="4" customFormat="1" ht="15.5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3" s="4" customFormat="1" ht="15.5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1:13" s="4" customFormat="1" ht="15.5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 s="4" customFormat="1" ht="15.5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 s="4" customFormat="1" ht="15.5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 s="4" customFormat="1" ht="15.5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 s="4" customFormat="1" ht="15.5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 s="4" customFormat="1" ht="15.5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1:13" s="4" customFormat="1" ht="15.5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1:13" s="4" customFormat="1" ht="15.5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1:13" s="4" customFormat="1" ht="15.5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 s="4" customFormat="1" ht="15.5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1:13" s="4" customFormat="1" ht="15.5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 s="4" customFormat="1" ht="15.5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 s="4" customFormat="1" ht="15.5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1:13" s="4" customFormat="1" ht="15.5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1:13" s="4" customFormat="1" ht="15.5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 s="4" customFormat="1" ht="15.5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1:13" s="4" customFormat="1" ht="15.5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 s="4" customFormat="1" ht="15.5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1:13" s="4" customFormat="1" ht="15.5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1:13" s="4" customFormat="1" ht="15.5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 s="4" customFormat="1" ht="15.5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 s="4" customFormat="1" ht="15.5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s="4" customFormat="1" ht="15.5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 s="4" customFormat="1" ht="15.5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1:13" s="4" customFormat="1" ht="15.5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 s="4" customFormat="1" ht="15.5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spans="1:13" s="4" customFormat="1" ht="15.5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spans="1:13" s="4" customFormat="1" ht="15.5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spans="1:13" s="4" customFormat="1" ht="15.5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1:13" s="4" customFormat="1" ht="15.5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1:13" s="4" customFormat="1" ht="15.5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1:13" s="4" customFormat="1" ht="15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1:13" s="4" customFormat="1" ht="15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1:13" s="4" customFormat="1" ht="15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spans="1:13" s="4" customFormat="1" ht="15.5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1:13" s="4" customFormat="1" ht="15.5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1:13" s="4" customFormat="1" ht="15.5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spans="1:13" s="4" customFormat="1" ht="15.5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spans="1:13" s="4" customFormat="1" ht="15.5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spans="1:13" s="4" customFormat="1" ht="15.5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spans="1:13" s="4" customFormat="1" ht="15.5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spans="1:13" s="4" customFormat="1" ht="15.5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spans="1:13" s="4" customFormat="1" ht="15.5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spans="1:13" s="4" customFormat="1" ht="15.5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spans="1:13" s="4" customFormat="1" ht="15.5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spans="1:13" s="4" customFormat="1" ht="15.5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spans="1:13" s="4" customFormat="1" ht="15.5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1:13" s="4" customFormat="1" ht="15.5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spans="1:13" s="4" customFormat="1" ht="15.5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1:13" s="4" customFormat="1" ht="15.5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spans="1:13" s="4" customFormat="1" ht="15.5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1:13" s="4" customFormat="1" ht="15.5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spans="1:13" s="4" customFormat="1" ht="15.5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1:13" s="4" customFormat="1" ht="15.5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spans="1:13" s="4" customFormat="1" ht="15.5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spans="1:13" s="4" customFormat="1" ht="15.5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spans="1:13" s="4" customFormat="1" ht="15.5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1:13" s="4" customFormat="1" ht="15.5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spans="1:13" s="4" customFormat="1" ht="15.5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1:13" s="4" customFormat="1" ht="15.5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spans="1:13" s="4" customFormat="1" ht="15.5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spans="1:13" s="4" customFormat="1" ht="15.5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spans="1:13" s="4" customFormat="1" ht="15.5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spans="1:13" s="4" customFormat="1" ht="15.5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spans="1:13" s="4" customFormat="1" ht="15.5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1:13" s="4" customFormat="1" ht="15.5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spans="1:13" s="4" customFormat="1" ht="15.5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spans="1:13" s="4" customFormat="1" ht="15.5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1:13" s="4" customFormat="1" ht="15.5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1:13" s="4" customFormat="1" ht="15.5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1:13" s="4" customFormat="1" ht="15.5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spans="1:13" s="4" customFormat="1" ht="15.5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spans="1:13" s="4" customFormat="1" ht="15.5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  <row r="204" spans="1:13" s="4" customFormat="1" ht="15.5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</row>
    <row r="205" spans="1:13" s="4" customFormat="1" ht="15.5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</row>
    <row r="206" spans="1:13" s="4" customFormat="1" ht="15.5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1:13" s="4" customFormat="1" ht="15.5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spans="1:13" s="4" customFormat="1" ht="15.5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1:13" s="4" customFormat="1" ht="15.5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</row>
    <row r="210" spans="1:13" s="4" customFormat="1" ht="15.5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</row>
    <row r="211" spans="1:13" s="4" customFormat="1" ht="15.5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</row>
    <row r="212" spans="1:13" s="4" customFormat="1" ht="15.5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spans="1:13" s="4" customFormat="1" ht="15.5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</row>
    <row r="214" spans="1:13" s="4" customFormat="1" ht="15.5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spans="1:13" s="4" customFormat="1" ht="15.5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spans="1:13" s="4" customFormat="1" ht="15.5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spans="1:13" s="4" customFormat="1" ht="15.5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spans="1:13" s="4" customFormat="1" ht="15.5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spans="1:13" s="4" customFormat="1" ht="15.5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spans="1:13" s="4" customFormat="1" ht="15.5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spans="1:13" s="4" customFormat="1" ht="15.5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spans="1:13" s="4" customFormat="1" ht="15.5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spans="1:13" s="4" customFormat="1" ht="15.5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spans="1:13" s="4" customFormat="1" ht="15.5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5" spans="1:13" s="4" customFormat="1" ht="15.5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spans="1:13" s="4" customFormat="1" ht="15.5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27" spans="1:13" s="4" customFormat="1" ht="15.5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spans="1:13" s="4" customFormat="1" ht="15.5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spans="1:13" s="4" customFormat="1" ht="15.5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spans="1:13" s="4" customFormat="1" ht="15.5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</row>
    <row r="231" spans="1:13" s="4" customFormat="1" ht="15.5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</row>
    <row r="232" spans="1:13" s="4" customFormat="1" ht="15.5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</row>
    <row r="233" spans="1:13" s="4" customFormat="1" ht="15.5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</row>
    <row r="234" spans="1:13" s="4" customFormat="1" ht="15.5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spans="1:13" s="4" customFormat="1" ht="15.5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</row>
    <row r="236" spans="1:13" s="4" customFormat="1" ht="15.5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spans="1:13" s="4" customFormat="1" ht="15.5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</row>
    <row r="238" spans="1:13" s="4" customFormat="1" ht="15.5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spans="1:13" s="4" customFormat="1" ht="15.5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</row>
    <row r="240" spans="1:13" s="4" customFormat="1" ht="15.5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spans="1:13" s="4" customFormat="1" ht="15.5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</row>
    <row r="242" spans="1:13" s="4" customFormat="1" ht="15.5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3" spans="1:13" s="4" customFormat="1" ht="15.5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</row>
    <row r="244" spans="1:13" s="4" customFormat="1" ht="15.5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1:13" s="4" customFormat="1" ht="15.5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spans="1:13" s="4" customFormat="1" ht="15.5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spans="1:13" s="4" customFormat="1" ht="15.5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spans="1:13" s="4" customFormat="1" ht="15.5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spans="1:13" s="4" customFormat="1" ht="15.5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spans="1:13" s="4" customFormat="1" ht="15.5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</row>
    <row r="251" spans="1:13" s="4" customFormat="1" ht="15.5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spans="1:13" s="4" customFormat="1" ht="15.5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spans="1:13" s="4" customFormat="1" ht="15.5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</row>
    <row r="254" spans="1:13" s="4" customFormat="1" ht="15.5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spans="1:13" s="4" customFormat="1" ht="15.5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</row>
    <row r="256" spans="1:13" s="4" customFormat="1" ht="15.5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</row>
    <row r="257" spans="1:13" s="4" customFormat="1" ht="15.5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spans="1:13" s="4" customFormat="1" ht="15.5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</row>
    <row r="259" spans="1:13" s="4" customFormat="1" ht="15.5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spans="1:13" s="4" customFormat="1" ht="15.5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spans="1:13" s="4" customFormat="1" ht="15.5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spans="1:13" s="4" customFormat="1" ht="15.5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spans="1:13" s="4" customFormat="1" ht="15.5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spans="1:13" s="4" customFormat="1" ht="15.5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spans="1:13" s="4" customFormat="1" ht="15.5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spans="1:13" s="4" customFormat="1" ht="15.5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spans="1:13" s="4" customFormat="1" ht="15.5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</row>
    <row r="268" spans="1:13" s="4" customFormat="1" ht="15.5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spans="1:13" s="4" customFormat="1" ht="15.5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</row>
    <row r="270" spans="1:13" s="4" customFormat="1" ht="15.5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</row>
    <row r="271" spans="1:13" s="4" customFormat="1" ht="15.5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</row>
    <row r="272" spans="1:13" s="4" customFormat="1" ht="15.5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spans="1:13" s="4" customFormat="1" ht="15.5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spans="1:13" s="4" customFormat="1" ht="15.5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</row>
    <row r="275" spans="1:13" s="4" customFormat="1" ht="15.5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</row>
    <row r="276" spans="1:13" s="4" customFormat="1" ht="15.5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spans="1:13" s="4" customFormat="1" ht="15.5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 spans="1:13" s="4" customFormat="1" ht="15.5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 spans="1:13" s="4" customFormat="1" ht="15.5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 spans="1:13" s="4" customFormat="1" ht="15.5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spans="1:13" s="4" customFormat="1" ht="15.5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 spans="1:13" s="4" customFormat="1" ht="15.5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spans="1:13" s="4" customFormat="1" ht="15.5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spans="1:13" s="4" customFormat="1" ht="15.5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spans="1:13" s="4" customFormat="1" ht="15.5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spans="1:13" s="4" customFormat="1" ht="15.5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 spans="1:13" s="4" customFormat="1" ht="15.5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 spans="1:13" s="4" customFormat="1" ht="15.5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 spans="1:13" s="4" customFormat="1" ht="15.5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spans="1:13" s="4" customFormat="1" ht="15.5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 spans="1:13" s="4" customFormat="1" ht="15.5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 spans="1:13" s="4" customFormat="1" ht="15.5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 spans="1:13" s="4" customFormat="1" ht="15.5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spans="1:13" s="4" customFormat="1" ht="15.5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 spans="1:13" s="4" customFormat="1" ht="15.5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spans="1:13" s="4" customFormat="1" ht="15.5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 spans="1:13" s="4" customFormat="1" ht="15.5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spans="1:13" s="4" customFormat="1" ht="15.5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 spans="1:13" s="4" customFormat="1" ht="15.5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 spans="1:13" s="4" customFormat="1" ht="15.5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 spans="1:13" s="4" customFormat="1" ht="15.5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spans="1:13" s="4" customFormat="1" ht="15.5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spans="1:13" s="4" customFormat="1" ht="15.5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spans="1:13" s="4" customFormat="1" ht="15.5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 spans="1:13" s="4" customFormat="1" ht="15.5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 spans="1:13" s="4" customFormat="1" ht="15.5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 spans="1:13" s="4" customFormat="1" ht="15.5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 spans="1:13" s="4" customFormat="1" ht="15.5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 spans="1:13" s="4" customFormat="1" ht="15.5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spans="1:13" s="4" customFormat="1" ht="15.5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 spans="1:13" s="4" customFormat="1" ht="15.5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 spans="1:13" s="4" customFormat="1" ht="15.5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 spans="1:13" s="4" customFormat="1" ht="15.5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 spans="1:13" s="4" customFormat="1" ht="15.5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spans="1:13" s="4" customFormat="1" ht="15.5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 spans="1:13" s="4" customFormat="1" ht="15.5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 spans="1:13" s="4" customFormat="1" ht="15.5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 spans="1:13" s="4" customFormat="1" ht="15.5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 spans="1:13" s="4" customFormat="1" ht="15.5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 spans="1:13" s="4" customFormat="1" ht="15.5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spans="1:13" s="4" customFormat="1" ht="15.5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spans="1:13" s="4" customFormat="1" ht="15.5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spans="1:13" s="4" customFormat="1" ht="15.5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 spans="1:13" s="4" customFormat="1" ht="15.5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 spans="1:13" s="4" customFormat="1" ht="15.5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spans="1:13" s="4" customFormat="1" ht="15.5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 spans="1:13" s="4" customFormat="1" ht="15.5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 spans="1:13" s="4" customFormat="1" ht="15.5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spans="1:13" s="4" customFormat="1" ht="15.5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 spans="1:13" s="4" customFormat="1" ht="15.5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 spans="1:13" s="4" customFormat="1" ht="15.5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 spans="1:13" s="4" customFormat="1" ht="15.5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spans="1:13" s="4" customFormat="1" ht="15.5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 spans="1:13" s="4" customFormat="1" ht="15.5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spans="1:13" s="4" customFormat="1" ht="15.5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 spans="1:13" s="4" customFormat="1" ht="15.5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spans="1:13" s="4" customFormat="1" ht="15.5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 spans="1:13" s="4" customFormat="1" ht="15.5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 spans="1:13" s="4" customFormat="1" ht="15.5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spans="1:13" s="4" customFormat="1" ht="15.5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spans="1:13" s="4" customFormat="1" ht="15.5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spans="1:13" s="4" customFormat="1" ht="15.5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spans="1:13" s="4" customFormat="1" ht="15.5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 spans="1:13" s="4" customFormat="1" ht="15.5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 spans="1:13" s="4" customFormat="1" ht="15.5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spans="1:13" s="4" customFormat="1" ht="15.5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 spans="1:13" s="4" customFormat="1" ht="15.5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 spans="1:13" s="4" customFormat="1" ht="15.5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 spans="1:13" s="4" customFormat="1" ht="15.5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 spans="1:13" s="4" customFormat="1" ht="15.5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spans="1:13" s="4" customFormat="1" ht="15.5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 spans="1:13" s="4" customFormat="1" ht="15.5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 spans="1:13" s="4" customFormat="1" ht="15.5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 spans="1:13" s="4" customFormat="1" ht="15.5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 spans="1:13" s="4" customFormat="1" ht="15.5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 spans="1:13" s="4" customFormat="1" ht="15.5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 spans="1:13" s="4" customFormat="1" ht="15.5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 spans="1:13" s="4" customFormat="1" ht="15.5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spans="1:13" s="4" customFormat="1" ht="15.5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spans="1:13" s="4" customFormat="1" ht="15.5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spans="1:13" s="4" customFormat="1" ht="15.5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 spans="1:13" s="4" customFormat="1" ht="15.5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spans="1:13" s="4" customFormat="1" ht="15.5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 spans="1:13" s="4" customFormat="1" ht="15.5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 spans="1:13" s="4" customFormat="1" ht="15.5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 spans="1:13" s="4" customFormat="1" ht="15.5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 spans="1:13" s="4" customFormat="1" ht="15.5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 spans="1:13" s="4" customFormat="1" ht="15.5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 spans="1:13" s="4" customFormat="1" ht="15.5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 spans="1:13" s="4" customFormat="1" ht="15.5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spans="1:13" s="4" customFormat="1" ht="15.5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 spans="1:13" s="4" customFormat="1" ht="15.5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 spans="1:13" s="4" customFormat="1" ht="15.5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spans="1:13" s="4" customFormat="1" ht="15.5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spans="1:13" s="4" customFormat="1" ht="15.5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spans="1:13" s="4" customFormat="1" ht="15.5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 spans="1:13" s="4" customFormat="1" ht="15.5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spans="1:13" s="4" customFormat="1" ht="15.5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 spans="1:13" s="4" customFormat="1" ht="15.5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 spans="1:13" s="4" customFormat="1" ht="15.5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 spans="1:13" s="4" customFormat="1" ht="15.5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 spans="1:13" s="4" customFormat="1" ht="15.5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 spans="1:13" s="4" customFormat="1" ht="15.5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spans="1:13" s="4" customFormat="1" ht="15.5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 spans="1:13" s="4" customFormat="1" ht="15.5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 spans="1:13" s="4" customFormat="1" ht="15.5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  <row r="387" spans="1:13" s="4" customFormat="1" ht="15.5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</row>
    <row r="388" spans="1:13" s="4" customFormat="1" ht="15.5" x14ac:dyDescent="0.3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</row>
    <row r="389" spans="1:13" s="4" customFormat="1" ht="15.5" x14ac:dyDescent="0.3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</row>
    <row r="390" spans="1:13" s="4" customFormat="1" ht="15.5" x14ac:dyDescent="0.3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</row>
    <row r="391" spans="1:13" s="4" customFormat="1" ht="15.5" x14ac:dyDescent="0.3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</row>
    <row r="392" spans="1:13" s="4" customFormat="1" ht="15.5" x14ac:dyDescent="0.3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</row>
    <row r="393" spans="1:13" s="4" customFormat="1" ht="15.5" x14ac:dyDescent="0.3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</row>
    <row r="394" spans="1:13" s="4" customFormat="1" ht="15.5" x14ac:dyDescent="0.3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</row>
    <row r="395" spans="1:13" s="4" customFormat="1" ht="15.5" x14ac:dyDescent="0.3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</row>
    <row r="396" spans="1:13" s="4" customFormat="1" ht="15.5" x14ac:dyDescent="0.3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</row>
    <row r="397" spans="1:13" s="4" customFormat="1" ht="15.5" x14ac:dyDescent="0.3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</row>
    <row r="398" spans="1:13" s="4" customFormat="1" ht="15.5" x14ac:dyDescent="0.3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</row>
    <row r="399" spans="1:13" s="4" customFormat="1" ht="15.5" x14ac:dyDescent="0.3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</row>
    <row r="400" spans="1:13" s="4" customFormat="1" ht="15.5" x14ac:dyDescent="0.3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</row>
    <row r="401" spans="1:13" s="4" customFormat="1" ht="15.5" x14ac:dyDescent="0.3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</row>
    <row r="402" spans="1:13" s="4" customFormat="1" ht="15.5" x14ac:dyDescent="0.3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</row>
    <row r="403" spans="1:13" s="4" customFormat="1" ht="15.5" x14ac:dyDescent="0.3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</row>
    <row r="404" spans="1:13" s="4" customFormat="1" ht="15.5" x14ac:dyDescent="0.3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</row>
    <row r="405" spans="1:13" s="4" customFormat="1" ht="15.5" x14ac:dyDescent="0.3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</row>
    <row r="406" spans="1:13" s="4" customFormat="1" ht="15.5" x14ac:dyDescent="0.3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</row>
    <row r="407" spans="1:13" s="4" customFormat="1" ht="15.5" x14ac:dyDescent="0.3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</row>
  </sheetData>
  <mergeCells count="42">
    <mergeCell ref="A33:B33"/>
    <mergeCell ref="A34:B34"/>
    <mergeCell ref="A40:B40"/>
    <mergeCell ref="A41:B41"/>
    <mergeCell ref="A35:B35"/>
    <mergeCell ref="A36:B36"/>
    <mergeCell ref="A37:B37"/>
    <mergeCell ref="A38:B38"/>
    <mergeCell ref="A39:B39"/>
    <mergeCell ref="A43:B43"/>
    <mergeCell ref="A44:B44"/>
    <mergeCell ref="A45:B45"/>
    <mergeCell ref="A46:B46"/>
    <mergeCell ref="A22:B22"/>
    <mergeCell ref="A23:B23"/>
    <mergeCell ref="A24:B24"/>
    <mergeCell ref="A25:B25"/>
    <mergeCell ref="A26:B26"/>
    <mergeCell ref="A27:B27"/>
    <mergeCell ref="A42:B42"/>
    <mergeCell ref="A28:B28"/>
    <mergeCell ref="A29:B29"/>
    <mergeCell ref="A30:B30"/>
    <mergeCell ref="A31:B31"/>
    <mergeCell ref="A32:B32"/>
    <mergeCell ref="A17:E18"/>
    <mergeCell ref="G17:I17"/>
    <mergeCell ref="A19:B19"/>
    <mergeCell ref="A20:B20"/>
    <mergeCell ref="A21:B21"/>
    <mergeCell ref="H15:I15"/>
    <mergeCell ref="A1:K3"/>
    <mergeCell ref="A7:D7"/>
    <mergeCell ref="E7:G7"/>
    <mergeCell ref="J7:K7"/>
    <mergeCell ref="H9:I9"/>
    <mergeCell ref="J9:K9"/>
    <mergeCell ref="A11:C11"/>
    <mergeCell ref="D11:G11"/>
    <mergeCell ref="J11:K11"/>
    <mergeCell ref="D13:E13"/>
    <mergeCell ref="H13:I13"/>
  </mergeCells>
  <dataValidations count="2">
    <dataValidation type="list" allowBlank="1" showInputMessage="1" showErrorMessage="1" sqref="E7" xr:uid="{3721C313-4A34-40FD-B28C-891243E1A22A}">
      <formula1>secteur</formula1>
    </dataValidation>
    <dataValidation type="list" allowBlank="1" showInputMessage="1" showErrorMessage="1" sqref="J7:K7" xr:uid="{AC811C92-FF6E-440D-A143-E28CBC34C677}">
      <formula1>mois_bon2</formula1>
    </dataValidation>
  </dataValidations>
  <pageMargins left="0.7" right="0.7" top="0.75" bottom="0.75" header="0.3" footer="0.3"/>
  <pageSetup paperSize="9" scale="65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A7880-5884-47A4-9345-73BE06A36F3A}">
  <sheetPr>
    <tabColor rgb="FF7030A0"/>
  </sheetPr>
  <dimension ref="A1:M387"/>
  <sheetViews>
    <sheetView showGridLines="0" topLeftCell="A13" workbookViewId="0">
      <selection activeCell="K45" sqref="K45"/>
    </sheetView>
  </sheetViews>
  <sheetFormatPr baseColWidth="10" defaultRowHeight="17.5" x14ac:dyDescent="0.35"/>
  <cols>
    <col min="1" max="1" width="10.90625" style="8"/>
    <col min="2" max="2" width="11.81640625" style="8" customWidth="1"/>
    <col min="3" max="3" width="14.1796875" style="8" customWidth="1"/>
    <col min="4" max="5" width="10.90625" style="8"/>
    <col min="6" max="6" width="3.54296875" style="8" customWidth="1"/>
    <col min="7" max="8" width="10.90625" style="8"/>
    <col min="9" max="9" width="14.453125" style="8" customWidth="1"/>
    <col min="10" max="10" width="10.90625" style="8"/>
    <col min="11" max="11" width="15.26953125" style="8" bestFit="1" customWidth="1"/>
    <col min="12" max="13" width="10.90625" style="8"/>
  </cols>
  <sheetData>
    <row r="1" spans="1:13" ht="7.5" customHeight="1" x14ac:dyDescent="0.35">
      <c r="A1" s="269" t="s">
        <v>50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</row>
    <row r="2" spans="1:13" ht="13.5" customHeight="1" x14ac:dyDescent="0.35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</row>
    <row r="3" spans="1:13" ht="15" hidden="1" customHeight="1" x14ac:dyDescent="0.35">
      <c r="A3" s="269"/>
      <c r="B3" s="269"/>
      <c r="C3" s="269"/>
      <c r="D3" s="269"/>
      <c r="E3" s="269"/>
      <c r="F3" s="269"/>
      <c r="G3" s="269"/>
      <c r="H3" s="269"/>
      <c r="I3" s="269"/>
      <c r="J3" s="269"/>
      <c r="K3" s="269"/>
    </row>
    <row r="4" spans="1:13" ht="5.25" customHeight="1" x14ac:dyDescent="0.35"/>
    <row r="5" spans="1:13" ht="13.5" customHeight="1" x14ac:dyDescent="0.35">
      <c r="A5" s="34" t="s">
        <v>52</v>
      </c>
    </row>
    <row r="6" spans="1:13" ht="5.25" customHeight="1" thickBot="1" x14ac:dyDescent="0.4">
      <c r="A6" s="34"/>
    </row>
    <row r="7" spans="1:13" s="23" customFormat="1" ht="16.5" thickTop="1" thickBot="1" x14ac:dyDescent="0.4">
      <c r="A7" s="270" t="s">
        <v>44</v>
      </c>
      <c r="B7" s="270"/>
      <c r="C7" s="270"/>
      <c r="D7" s="270"/>
      <c r="E7" s="271" t="s">
        <v>28</v>
      </c>
      <c r="F7" s="272"/>
      <c r="G7" s="273"/>
      <c r="I7" s="36" t="s">
        <v>46</v>
      </c>
      <c r="J7" s="274" t="s">
        <v>256</v>
      </c>
      <c r="K7" s="275"/>
      <c r="M7" s="28"/>
    </row>
    <row r="8" spans="1:13" ht="5.25" customHeight="1" thickTop="1" thickBot="1" x14ac:dyDescent="0.4"/>
    <row r="9" spans="1:13" ht="18.5" thickTop="1" thickBot="1" x14ac:dyDescent="0.4">
      <c r="H9" s="267" t="s">
        <v>53</v>
      </c>
      <c r="I9" s="268"/>
      <c r="J9" s="276">
        <v>46152</v>
      </c>
      <c r="K9" s="277"/>
    </row>
    <row r="10" spans="1:13" ht="18.5" thickTop="1" thickBot="1" x14ac:dyDescent="0.4">
      <c r="J10" s="45"/>
      <c r="K10" s="37"/>
    </row>
    <row r="11" spans="1:13" s="3" customFormat="1" ht="16.5" thickTop="1" thickBot="1" x14ac:dyDescent="0.4">
      <c r="A11" s="270" t="s">
        <v>45</v>
      </c>
      <c r="B11" s="270"/>
      <c r="C11" s="270"/>
      <c r="D11" s="271" t="s">
        <v>9</v>
      </c>
      <c r="E11" s="272"/>
      <c r="F11" s="272"/>
      <c r="G11" s="273"/>
      <c r="H11" s="23"/>
      <c r="I11" s="31" t="s">
        <v>47</v>
      </c>
      <c r="J11" s="271"/>
      <c r="K11" s="273"/>
      <c r="L11" s="23"/>
      <c r="M11" s="23"/>
    </row>
    <row r="12" spans="1:13" s="4" customFormat="1" ht="16.5" thickTop="1" thickBot="1" x14ac:dyDescent="0.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s="25" customFormat="1" ht="16.5" thickTop="1" thickBot="1" x14ac:dyDescent="0.4">
      <c r="A13" s="52" t="s">
        <v>76</v>
      </c>
      <c r="B13" s="46"/>
      <c r="C13" s="35">
        <v>2500000</v>
      </c>
      <c r="D13" s="267" t="s">
        <v>49</v>
      </c>
      <c r="E13" s="267"/>
      <c r="F13" s="32">
        <v>4</v>
      </c>
      <c r="G13" s="30" t="s">
        <v>48</v>
      </c>
      <c r="H13" s="278" t="s">
        <v>57</v>
      </c>
      <c r="I13" s="279"/>
      <c r="J13" s="33">
        <f>IF(C13&lt;1000000,F13*1.5%,F13%)</f>
        <v>0.04</v>
      </c>
      <c r="K13" s="24"/>
      <c r="L13" s="24"/>
      <c r="M13" s="24"/>
    </row>
    <row r="14" spans="1:13" s="4" customFormat="1" ht="16.5" thickTop="1" thickBot="1" x14ac:dyDescent="0.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s="3" customFormat="1" ht="16.5" thickTop="1" thickBot="1" x14ac:dyDescent="0.4">
      <c r="A15" s="23"/>
      <c r="B15" s="23"/>
      <c r="C15" s="23"/>
      <c r="D15" s="23"/>
      <c r="E15" s="23"/>
      <c r="F15" s="23"/>
      <c r="G15" s="23"/>
      <c r="H15" s="267" t="s">
        <v>26</v>
      </c>
      <c r="I15" s="268"/>
      <c r="J15" s="27">
        <f>C13*J13</f>
        <v>100000</v>
      </c>
      <c r="K15" s="23"/>
      <c r="L15" s="23"/>
      <c r="M15" s="23"/>
    </row>
    <row r="16" spans="1:13" s="4" customFormat="1" ht="16.5" thickTop="1" thickBot="1" x14ac:dyDescent="0.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s="4" customFormat="1" ht="18.75" customHeight="1" thickTop="1" thickBot="1" x14ac:dyDescent="0.4">
      <c r="A17" s="280" t="s">
        <v>51</v>
      </c>
      <c r="B17" s="280"/>
      <c r="C17" s="280"/>
      <c r="D17" s="280"/>
      <c r="E17" s="280"/>
      <c r="F17" s="15"/>
      <c r="G17" s="282" t="s">
        <v>73</v>
      </c>
      <c r="H17" s="282"/>
      <c r="I17" s="283"/>
      <c r="J17" s="51">
        <f>C13+J15</f>
        <v>2600000</v>
      </c>
      <c r="K17" s="15"/>
      <c r="L17" s="15"/>
      <c r="M17" s="15"/>
    </row>
    <row r="18" spans="1:13" s="4" customFormat="1" ht="13.5" customHeight="1" thickTop="1" thickBot="1" x14ac:dyDescent="0.4">
      <c r="A18" s="281"/>
      <c r="B18" s="281"/>
      <c r="C18" s="281"/>
      <c r="D18" s="281"/>
      <c r="E18" s="281"/>
      <c r="F18" s="15"/>
      <c r="G18" s="15"/>
      <c r="H18" s="15"/>
      <c r="I18" s="15"/>
      <c r="J18" s="15"/>
      <c r="K18" s="15"/>
      <c r="L18" s="15"/>
      <c r="M18" s="15"/>
    </row>
    <row r="19" spans="1:13" s="4" customFormat="1" ht="42.75" customHeight="1" thickTop="1" thickBot="1" x14ac:dyDescent="0.45">
      <c r="A19" s="284" t="s">
        <v>196</v>
      </c>
      <c r="B19" s="285"/>
      <c r="C19" s="38" t="s">
        <v>54</v>
      </c>
      <c r="D19" s="39" t="s">
        <v>55</v>
      </c>
      <c r="E19" s="40" t="s">
        <v>56</v>
      </c>
      <c r="F19" s="15"/>
      <c r="G19" s="26"/>
      <c r="H19" s="15"/>
      <c r="I19" s="15"/>
      <c r="J19" s="15"/>
      <c r="K19" s="15"/>
      <c r="L19" s="15"/>
      <c r="M19" s="15"/>
    </row>
    <row r="20" spans="1:13" s="4" customFormat="1" ht="16" thickBot="1" x14ac:dyDescent="0.4">
      <c r="A20" s="286">
        <v>45992</v>
      </c>
      <c r="B20" s="287"/>
      <c r="C20" s="41"/>
      <c r="D20" s="44"/>
      <c r="E20" s="43">
        <f t="shared" ref="E20:E25" si="0">C20-D20</f>
        <v>0</v>
      </c>
      <c r="F20" s="15"/>
      <c r="G20" s="15"/>
      <c r="H20" s="15"/>
      <c r="I20" s="15"/>
      <c r="J20" s="15"/>
      <c r="K20" s="15"/>
      <c r="L20" s="15"/>
      <c r="M20" s="15"/>
    </row>
    <row r="21" spans="1:13" s="4" customFormat="1" ht="16" thickBot="1" x14ac:dyDescent="0.4">
      <c r="A21" s="286">
        <v>46023</v>
      </c>
      <c r="B21" s="287"/>
      <c r="C21" s="41"/>
      <c r="D21" s="44"/>
      <c r="E21" s="43">
        <f t="shared" si="0"/>
        <v>0</v>
      </c>
      <c r="F21" s="15"/>
      <c r="G21" s="15"/>
      <c r="H21" s="15"/>
      <c r="I21" s="15"/>
      <c r="J21" s="15"/>
      <c r="K21" s="15"/>
      <c r="L21" s="15"/>
      <c r="M21" s="15"/>
    </row>
    <row r="22" spans="1:13" s="4" customFormat="1" ht="16" thickBot="1" x14ac:dyDescent="0.4">
      <c r="A22" s="286">
        <v>46054</v>
      </c>
      <c r="B22" s="287"/>
      <c r="C22" s="41">
        <f t="shared" ref="C22:C25" si="1">J$17/F$13</f>
        <v>650000</v>
      </c>
      <c r="D22" s="44"/>
      <c r="E22" s="43">
        <f t="shared" si="0"/>
        <v>650000</v>
      </c>
      <c r="F22" s="15"/>
      <c r="G22" s="15"/>
      <c r="H22" s="15"/>
      <c r="I22" s="15"/>
      <c r="J22" s="15"/>
      <c r="K22" s="15"/>
      <c r="L22" s="15"/>
      <c r="M22" s="15"/>
    </row>
    <row r="23" spans="1:13" s="4" customFormat="1" ht="16" thickBot="1" x14ac:dyDescent="0.4">
      <c r="A23" s="286">
        <v>46082</v>
      </c>
      <c r="B23" s="287"/>
      <c r="C23" s="41">
        <f t="shared" si="1"/>
        <v>650000</v>
      </c>
      <c r="D23" s="44"/>
      <c r="E23" s="43">
        <f t="shared" si="0"/>
        <v>650000</v>
      </c>
      <c r="F23" s="15"/>
      <c r="G23" s="15"/>
      <c r="H23" s="15"/>
      <c r="I23" s="15"/>
      <c r="J23" s="15"/>
      <c r="K23" s="15"/>
      <c r="L23" s="15"/>
      <c r="M23" s="15"/>
    </row>
    <row r="24" spans="1:13" s="4" customFormat="1" ht="16" thickBot="1" x14ac:dyDescent="0.4">
      <c r="A24" s="286">
        <v>46113</v>
      </c>
      <c r="B24" s="287"/>
      <c r="C24" s="41">
        <f t="shared" si="1"/>
        <v>650000</v>
      </c>
      <c r="D24" s="44"/>
      <c r="E24" s="43">
        <f t="shared" si="0"/>
        <v>650000</v>
      </c>
      <c r="F24" s="15"/>
      <c r="G24" s="15"/>
      <c r="H24" s="15"/>
      <c r="I24" s="15"/>
      <c r="J24" s="15"/>
      <c r="K24" s="15"/>
      <c r="L24" s="15"/>
      <c r="M24" s="15"/>
    </row>
    <row r="25" spans="1:13" s="4" customFormat="1" ht="16" thickBot="1" x14ac:dyDescent="0.4">
      <c r="A25" s="286">
        <v>46143</v>
      </c>
      <c r="B25" s="287"/>
      <c r="C25" s="41">
        <f t="shared" si="1"/>
        <v>650000</v>
      </c>
      <c r="D25" s="44"/>
      <c r="E25" s="43">
        <f t="shared" si="0"/>
        <v>650000</v>
      </c>
      <c r="F25" s="15"/>
      <c r="G25" s="15"/>
      <c r="H25" s="15"/>
      <c r="I25" s="15"/>
      <c r="J25" s="15"/>
      <c r="K25" s="15"/>
      <c r="L25" s="15"/>
      <c r="M25" s="15"/>
    </row>
    <row r="26" spans="1:13" s="3" customFormat="1" ht="20.25" customHeight="1" thickBot="1" x14ac:dyDescent="0.4">
      <c r="A26" s="288" t="s">
        <v>43</v>
      </c>
      <c r="B26" s="289"/>
      <c r="C26" s="29">
        <f>SUM(C20:C25)</f>
        <v>2600000</v>
      </c>
      <c r="D26" s="29">
        <f>SUM(D20:D25)</f>
        <v>0</v>
      </c>
      <c r="E26" s="29">
        <f>SUM(E20:E25)</f>
        <v>2600000</v>
      </c>
      <c r="F26" s="23"/>
      <c r="G26" s="23"/>
      <c r="H26" s="23"/>
      <c r="I26" s="23"/>
      <c r="J26" s="23"/>
      <c r="K26" s="23"/>
      <c r="L26" s="23"/>
      <c r="M26" s="23"/>
    </row>
    <row r="27" spans="1:13" s="4" customFormat="1" ht="16" thickTop="1" x14ac:dyDescent="0.3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</row>
    <row r="28" spans="1:13" s="4" customFormat="1" ht="15.5" x14ac:dyDescent="0.3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1:13" s="4" customFormat="1" ht="15.5" x14ac:dyDescent="0.3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</row>
    <row r="30" spans="1:13" s="4" customFormat="1" ht="15.5" x14ac:dyDescent="0.3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</row>
    <row r="31" spans="1:13" s="4" customFormat="1" ht="15.5" x14ac:dyDescent="0.3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1:13" s="4" customFormat="1" ht="15.5" x14ac:dyDescent="0.3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1:13" s="4" customFormat="1" ht="15.5" x14ac:dyDescent="0.3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13" s="4" customFormat="1" ht="15.5" x14ac:dyDescent="0.3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1:13" s="4" customFormat="1" ht="15.5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 s="4" customFormat="1" ht="15.5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s="4" customFormat="1" ht="15.5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s="4" customFormat="1" ht="15.5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s="4" customFormat="1" ht="15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s="4" customFormat="1" ht="15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s="4" customFormat="1" ht="15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s="4" customFormat="1" ht="15.5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 s="4" customFormat="1" ht="15.5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s="4" customFormat="1" ht="15.5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s="4" customFormat="1" ht="15.5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s="4" customFormat="1" ht="15.5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s="4" customFormat="1" ht="15.5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s="4" customFormat="1" ht="15.5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s="4" customFormat="1" ht="15.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s="4" customFormat="1" ht="15.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s="4" customFormat="1" ht="15.5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s="4" customFormat="1" ht="15.5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s="4" customFormat="1" ht="15.5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s="4" customFormat="1" ht="15.5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s="4" customFormat="1" ht="15.5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 s="4" customFormat="1" ht="15.5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s="4" customFormat="1" ht="15.5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 s="4" customFormat="1" ht="15.5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s="4" customFormat="1" ht="15.5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s="4" customFormat="1" ht="15.5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s="4" customFormat="1" ht="15.5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 s="4" customFormat="1" ht="15.5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s="4" customFormat="1" ht="15.5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 s="4" customFormat="1" ht="15.5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s="4" customFormat="1" ht="15.5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s="4" customFormat="1" ht="15.5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s="4" customFormat="1" ht="15.5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s="4" customFormat="1" ht="15.5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s="4" customFormat="1" ht="15.5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s="4" customFormat="1" ht="15.5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s="4" customFormat="1" ht="15.5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s="4" customFormat="1" ht="15.5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s="4" customFormat="1" ht="15.5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s="4" customFormat="1" ht="15.5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 s="4" customFormat="1" ht="15.5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s="4" customFormat="1" ht="15.5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s="4" customFormat="1" ht="15.5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 s="4" customFormat="1" ht="15.5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s="4" customFormat="1" ht="15.5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s="4" customFormat="1" ht="15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s="4" customFormat="1" ht="15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s="4" customFormat="1" ht="15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 s="4" customFormat="1" ht="15.5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s="4" customFormat="1" ht="15.5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1:13" s="4" customFormat="1" ht="15.5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1:13" s="4" customFormat="1" ht="15.5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 s="4" customFormat="1" ht="15.5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 s="4" customFormat="1" ht="15.5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s="4" customFormat="1" ht="15.5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 s="4" customFormat="1" ht="15.5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 s="4" customFormat="1" ht="15.5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 s="4" customFormat="1" ht="15.5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 s="4" customFormat="1" ht="15.5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1:13" s="4" customFormat="1" ht="15.5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s="4" customFormat="1" ht="15.5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 s="4" customFormat="1" ht="15.5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s="4" customFormat="1" ht="15.5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s="4" customFormat="1" ht="15.5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1:13" s="4" customFormat="1" ht="15.5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 s="4" customFormat="1" ht="15.5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s="4" customFormat="1" ht="15.5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1:13" s="4" customFormat="1" ht="15.5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s="4" customFormat="1" ht="15.5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s="4" customFormat="1" ht="15.5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1:13" s="4" customFormat="1" ht="15.5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1:13" s="4" customFormat="1" ht="15.5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1:13" s="4" customFormat="1" ht="15.5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 s="4" customFormat="1" ht="15.5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1:13" s="4" customFormat="1" ht="15.5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s="4" customFormat="1" ht="15.5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1:13" s="4" customFormat="1" ht="15.5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 s="4" customFormat="1" ht="15.5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1:13" s="4" customFormat="1" ht="15.5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 s="4" customFormat="1" ht="15.5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 s="4" customFormat="1" ht="15.5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 s="4" customFormat="1" ht="15.5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 s="4" customFormat="1" ht="15.5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 s="4" customFormat="1" ht="15.5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 s="4" customFormat="1" ht="15.5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 s="4" customFormat="1" ht="15.5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 s="4" customFormat="1" ht="15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1:13" s="4" customFormat="1" ht="15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1:13" s="4" customFormat="1" ht="15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1:13" s="4" customFormat="1" ht="15.5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1:13" s="4" customFormat="1" ht="15.5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1:13" s="4" customFormat="1" ht="15.5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 s="4" customFormat="1" ht="15.5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1:13" s="4" customFormat="1" ht="15.5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s="4" customFormat="1" ht="15.5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3" s="4" customFormat="1" ht="15.5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1:13" s="4" customFormat="1" ht="15.5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 s="4" customFormat="1" ht="15.5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 s="4" customFormat="1" ht="15.5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 s="4" customFormat="1" ht="15.5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 s="4" customFormat="1" ht="15.5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 s="4" customFormat="1" ht="15.5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1:13" s="4" customFormat="1" ht="15.5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1:13" s="4" customFormat="1" ht="15.5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1:13" s="4" customFormat="1" ht="15.5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 s="4" customFormat="1" ht="15.5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1:13" s="4" customFormat="1" ht="15.5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 s="4" customFormat="1" ht="15.5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 s="4" customFormat="1" ht="15.5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1:13" s="4" customFormat="1" ht="15.5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1:13" s="4" customFormat="1" ht="15.5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 s="4" customFormat="1" ht="15.5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1:13" s="4" customFormat="1" ht="15.5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 s="4" customFormat="1" ht="15.5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1:13" s="4" customFormat="1" ht="15.5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1:13" s="4" customFormat="1" ht="15.5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 s="4" customFormat="1" ht="15.5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 s="4" customFormat="1" ht="15.5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s="4" customFormat="1" ht="15.5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 s="4" customFormat="1" ht="15.5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1:13" s="4" customFormat="1" ht="15.5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 s="4" customFormat="1" ht="15.5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spans="1:13" s="4" customFormat="1" ht="15.5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spans="1:13" s="4" customFormat="1" ht="15.5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spans="1:13" s="4" customFormat="1" ht="15.5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1:13" s="4" customFormat="1" ht="15.5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1:13" s="4" customFormat="1" ht="15.5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1:13" s="4" customFormat="1" ht="15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1:13" s="4" customFormat="1" ht="15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1:13" s="4" customFormat="1" ht="15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spans="1:13" s="4" customFormat="1" ht="15.5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1:13" s="4" customFormat="1" ht="15.5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1:13" s="4" customFormat="1" ht="15.5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spans="1:13" s="4" customFormat="1" ht="15.5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spans="1:13" s="4" customFormat="1" ht="15.5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spans="1:13" s="4" customFormat="1" ht="15.5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spans="1:13" s="4" customFormat="1" ht="15.5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spans="1:13" s="4" customFormat="1" ht="15.5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spans="1:13" s="4" customFormat="1" ht="15.5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spans="1:13" s="4" customFormat="1" ht="15.5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spans="1:13" s="4" customFormat="1" ht="15.5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spans="1:13" s="4" customFormat="1" ht="15.5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spans="1:13" s="4" customFormat="1" ht="15.5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1:13" s="4" customFormat="1" ht="15.5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spans="1:13" s="4" customFormat="1" ht="15.5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1:13" s="4" customFormat="1" ht="15.5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spans="1:13" s="4" customFormat="1" ht="15.5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1:13" s="4" customFormat="1" ht="15.5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spans="1:13" s="4" customFormat="1" ht="15.5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1:13" s="4" customFormat="1" ht="15.5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spans="1:13" s="4" customFormat="1" ht="15.5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spans="1:13" s="4" customFormat="1" ht="15.5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spans="1:13" s="4" customFormat="1" ht="15.5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1:13" s="4" customFormat="1" ht="15.5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spans="1:13" s="4" customFormat="1" ht="15.5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1:13" s="4" customFormat="1" ht="15.5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spans="1:13" s="4" customFormat="1" ht="15.5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spans="1:13" s="4" customFormat="1" ht="15.5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spans="1:13" s="4" customFormat="1" ht="15.5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spans="1:13" s="4" customFormat="1" ht="15.5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spans="1:13" s="4" customFormat="1" ht="15.5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1:13" s="4" customFormat="1" ht="15.5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spans="1:13" s="4" customFormat="1" ht="15.5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spans="1:13" s="4" customFormat="1" ht="15.5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1:13" s="4" customFormat="1" ht="15.5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1:13" s="4" customFormat="1" ht="15.5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1:13" s="4" customFormat="1" ht="15.5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spans="1:13" s="4" customFormat="1" ht="15.5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spans="1:13" s="4" customFormat="1" ht="15.5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  <row r="204" spans="1:13" s="4" customFormat="1" ht="15.5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</row>
    <row r="205" spans="1:13" s="4" customFormat="1" ht="15.5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</row>
    <row r="206" spans="1:13" s="4" customFormat="1" ht="15.5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1:13" s="4" customFormat="1" ht="15.5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spans="1:13" s="4" customFormat="1" ht="15.5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1:13" s="4" customFormat="1" ht="15.5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</row>
    <row r="210" spans="1:13" s="4" customFormat="1" ht="15.5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</row>
    <row r="211" spans="1:13" s="4" customFormat="1" ht="15.5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</row>
    <row r="212" spans="1:13" s="4" customFormat="1" ht="15.5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spans="1:13" s="4" customFormat="1" ht="15.5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</row>
    <row r="214" spans="1:13" s="4" customFormat="1" ht="15.5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spans="1:13" s="4" customFormat="1" ht="15.5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spans="1:13" s="4" customFormat="1" ht="15.5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spans="1:13" s="4" customFormat="1" ht="15.5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spans="1:13" s="4" customFormat="1" ht="15.5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spans="1:13" s="4" customFormat="1" ht="15.5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spans="1:13" s="4" customFormat="1" ht="15.5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spans="1:13" s="4" customFormat="1" ht="15.5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spans="1:13" s="4" customFormat="1" ht="15.5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spans="1:13" s="4" customFormat="1" ht="15.5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spans="1:13" s="4" customFormat="1" ht="15.5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5" spans="1:13" s="4" customFormat="1" ht="15.5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spans="1:13" s="4" customFormat="1" ht="15.5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27" spans="1:13" s="4" customFormat="1" ht="15.5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spans="1:13" s="4" customFormat="1" ht="15.5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spans="1:13" s="4" customFormat="1" ht="15.5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spans="1:13" s="4" customFormat="1" ht="15.5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</row>
    <row r="231" spans="1:13" s="4" customFormat="1" ht="15.5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</row>
    <row r="232" spans="1:13" s="4" customFormat="1" ht="15.5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</row>
    <row r="233" spans="1:13" s="4" customFormat="1" ht="15.5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</row>
    <row r="234" spans="1:13" s="4" customFormat="1" ht="15.5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spans="1:13" s="4" customFormat="1" ht="15.5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</row>
    <row r="236" spans="1:13" s="4" customFormat="1" ht="15.5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spans="1:13" s="4" customFormat="1" ht="15.5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</row>
    <row r="238" spans="1:13" s="4" customFormat="1" ht="15.5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spans="1:13" s="4" customFormat="1" ht="15.5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</row>
    <row r="240" spans="1:13" s="4" customFormat="1" ht="15.5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spans="1:13" s="4" customFormat="1" ht="15.5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</row>
    <row r="242" spans="1:13" s="4" customFormat="1" ht="15.5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3" spans="1:13" s="4" customFormat="1" ht="15.5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</row>
    <row r="244" spans="1:13" s="4" customFormat="1" ht="15.5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1:13" s="4" customFormat="1" ht="15.5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spans="1:13" s="4" customFormat="1" ht="15.5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spans="1:13" s="4" customFormat="1" ht="15.5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spans="1:13" s="4" customFormat="1" ht="15.5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spans="1:13" s="4" customFormat="1" ht="15.5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spans="1:13" s="4" customFormat="1" ht="15.5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</row>
    <row r="251" spans="1:13" s="4" customFormat="1" ht="15.5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spans="1:13" s="4" customFormat="1" ht="15.5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spans="1:13" s="4" customFormat="1" ht="15.5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</row>
    <row r="254" spans="1:13" s="4" customFormat="1" ht="15.5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spans="1:13" s="4" customFormat="1" ht="15.5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</row>
    <row r="256" spans="1:13" s="4" customFormat="1" ht="15.5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</row>
    <row r="257" spans="1:13" s="4" customFormat="1" ht="15.5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spans="1:13" s="4" customFormat="1" ht="15.5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</row>
    <row r="259" spans="1:13" s="4" customFormat="1" ht="15.5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spans="1:13" s="4" customFormat="1" ht="15.5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spans="1:13" s="4" customFormat="1" ht="15.5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spans="1:13" s="4" customFormat="1" ht="15.5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spans="1:13" s="4" customFormat="1" ht="15.5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spans="1:13" s="4" customFormat="1" ht="15.5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spans="1:13" s="4" customFormat="1" ht="15.5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spans="1:13" s="4" customFormat="1" ht="15.5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spans="1:13" s="4" customFormat="1" ht="15.5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</row>
    <row r="268" spans="1:13" s="4" customFormat="1" ht="15.5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spans="1:13" s="4" customFormat="1" ht="15.5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</row>
    <row r="270" spans="1:13" s="4" customFormat="1" ht="15.5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</row>
    <row r="271" spans="1:13" s="4" customFormat="1" ht="15.5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</row>
    <row r="272" spans="1:13" s="4" customFormat="1" ht="15.5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spans="1:13" s="4" customFormat="1" ht="15.5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spans="1:13" s="4" customFormat="1" ht="15.5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</row>
    <row r="275" spans="1:13" s="4" customFormat="1" ht="15.5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</row>
    <row r="276" spans="1:13" s="4" customFormat="1" ht="15.5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spans="1:13" s="4" customFormat="1" ht="15.5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 spans="1:13" s="4" customFormat="1" ht="15.5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 spans="1:13" s="4" customFormat="1" ht="15.5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 spans="1:13" s="4" customFormat="1" ht="15.5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spans="1:13" s="4" customFormat="1" ht="15.5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 spans="1:13" s="4" customFormat="1" ht="15.5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spans="1:13" s="4" customFormat="1" ht="15.5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spans="1:13" s="4" customFormat="1" ht="15.5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spans="1:13" s="4" customFormat="1" ht="15.5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spans="1:13" s="4" customFormat="1" ht="15.5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 spans="1:13" s="4" customFormat="1" ht="15.5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 spans="1:13" s="4" customFormat="1" ht="15.5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 spans="1:13" s="4" customFormat="1" ht="15.5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spans="1:13" s="4" customFormat="1" ht="15.5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 spans="1:13" s="4" customFormat="1" ht="15.5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 spans="1:13" s="4" customFormat="1" ht="15.5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 spans="1:13" s="4" customFormat="1" ht="15.5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spans="1:13" s="4" customFormat="1" ht="15.5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 spans="1:13" s="4" customFormat="1" ht="15.5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spans="1:13" s="4" customFormat="1" ht="15.5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 spans="1:13" s="4" customFormat="1" ht="15.5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spans="1:13" s="4" customFormat="1" ht="15.5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 spans="1:13" s="4" customFormat="1" ht="15.5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 spans="1:13" s="4" customFormat="1" ht="15.5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 spans="1:13" s="4" customFormat="1" ht="15.5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spans="1:13" s="4" customFormat="1" ht="15.5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spans="1:13" s="4" customFormat="1" ht="15.5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spans="1:13" s="4" customFormat="1" ht="15.5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 spans="1:13" s="4" customFormat="1" ht="15.5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 spans="1:13" s="4" customFormat="1" ht="15.5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 spans="1:13" s="4" customFormat="1" ht="15.5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 spans="1:13" s="4" customFormat="1" ht="15.5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 spans="1:13" s="4" customFormat="1" ht="15.5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spans="1:13" s="4" customFormat="1" ht="15.5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 spans="1:13" s="4" customFormat="1" ht="15.5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 spans="1:13" s="4" customFormat="1" ht="15.5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 spans="1:13" s="4" customFormat="1" ht="15.5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 spans="1:13" s="4" customFormat="1" ht="15.5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spans="1:13" s="4" customFormat="1" ht="15.5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 spans="1:13" s="4" customFormat="1" ht="15.5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 spans="1:13" s="4" customFormat="1" ht="15.5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 spans="1:13" s="4" customFormat="1" ht="15.5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 spans="1:13" s="4" customFormat="1" ht="15.5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 spans="1:13" s="4" customFormat="1" ht="15.5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spans="1:13" s="4" customFormat="1" ht="15.5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spans="1:13" s="4" customFormat="1" ht="15.5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spans="1:13" s="4" customFormat="1" ht="15.5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 spans="1:13" s="4" customFormat="1" ht="15.5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 spans="1:13" s="4" customFormat="1" ht="15.5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spans="1:13" s="4" customFormat="1" ht="15.5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 spans="1:13" s="4" customFormat="1" ht="15.5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 spans="1:13" s="4" customFormat="1" ht="15.5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spans="1:13" s="4" customFormat="1" ht="15.5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 spans="1:13" s="4" customFormat="1" ht="15.5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 spans="1:13" s="4" customFormat="1" ht="15.5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 spans="1:13" s="4" customFormat="1" ht="15.5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spans="1:13" s="4" customFormat="1" ht="15.5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 spans="1:13" s="4" customFormat="1" ht="15.5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spans="1:13" s="4" customFormat="1" ht="15.5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 spans="1:13" s="4" customFormat="1" ht="15.5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spans="1:13" s="4" customFormat="1" ht="15.5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 spans="1:13" s="4" customFormat="1" ht="15.5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 spans="1:13" s="4" customFormat="1" ht="15.5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spans="1:13" s="4" customFormat="1" ht="15.5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spans="1:13" s="4" customFormat="1" ht="15.5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spans="1:13" s="4" customFormat="1" ht="15.5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spans="1:13" s="4" customFormat="1" ht="15.5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 spans="1:13" s="4" customFormat="1" ht="15.5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 spans="1:13" s="4" customFormat="1" ht="15.5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spans="1:13" s="4" customFormat="1" ht="15.5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 spans="1:13" s="4" customFormat="1" ht="15.5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 spans="1:13" s="4" customFormat="1" ht="15.5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 spans="1:13" s="4" customFormat="1" ht="15.5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 spans="1:13" s="4" customFormat="1" ht="15.5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spans="1:13" s="4" customFormat="1" ht="15.5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 spans="1:13" s="4" customFormat="1" ht="15.5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 spans="1:13" s="4" customFormat="1" ht="15.5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 spans="1:13" s="4" customFormat="1" ht="15.5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 spans="1:13" s="4" customFormat="1" ht="15.5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 spans="1:13" s="4" customFormat="1" ht="15.5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 spans="1:13" s="4" customFormat="1" ht="15.5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 spans="1:13" s="4" customFormat="1" ht="15.5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spans="1:13" s="4" customFormat="1" ht="15.5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spans="1:13" s="4" customFormat="1" ht="15.5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spans="1:13" s="4" customFormat="1" ht="15.5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 spans="1:13" s="4" customFormat="1" ht="15.5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spans="1:13" s="4" customFormat="1" ht="15.5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 spans="1:13" s="4" customFormat="1" ht="15.5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 spans="1:13" s="4" customFormat="1" ht="15.5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 spans="1:13" s="4" customFormat="1" ht="15.5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 spans="1:13" s="4" customFormat="1" ht="15.5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 spans="1:13" s="4" customFormat="1" ht="15.5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 spans="1:13" s="4" customFormat="1" ht="15.5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 spans="1:13" s="4" customFormat="1" ht="15.5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spans="1:13" s="4" customFormat="1" ht="15.5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 spans="1:13" s="4" customFormat="1" ht="15.5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 spans="1:13" s="4" customFormat="1" ht="15.5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spans="1:13" s="4" customFormat="1" ht="15.5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spans="1:13" s="4" customFormat="1" ht="15.5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spans="1:13" s="4" customFormat="1" ht="15.5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 spans="1:13" s="4" customFormat="1" ht="15.5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spans="1:13" s="4" customFormat="1" ht="15.5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 spans="1:13" s="4" customFormat="1" ht="15.5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 spans="1:13" s="4" customFormat="1" ht="15.5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 spans="1:13" s="4" customFormat="1" ht="15.5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 spans="1:13" s="4" customFormat="1" ht="15.5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 spans="1:13" s="4" customFormat="1" ht="15.5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spans="1:13" s="4" customFormat="1" ht="15.5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 spans="1:13" s="4" customFormat="1" ht="15.5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 spans="1:13" s="4" customFormat="1" ht="15.5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  <row r="387" spans="1:13" s="4" customFormat="1" ht="15.5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</row>
  </sheetData>
  <mergeCells count="22">
    <mergeCell ref="H15:I15"/>
    <mergeCell ref="A1:K3"/>
    <mergeCell ref="A7:D7"/>
    <mergeCell ref="E7:G7"/>
    <mergeCell ref="J7:K7"/>
    <mergeCell ref="H9:I9"/>
    <mergeCell ref="J9:K9"/>
    <mergeCell ref="A11:C11"/>
    <mergeCell ref="D11:G11"/>
    <mergeCell ref="J11:K11"/>
    <mergeCell ref="D13:E13"/>
    <mergeCell ref="H13:I13"/>
    <mergeCell ref="G17:I17"/>
    <mergeCell ref="A19:B19"/>
    <mergeCell ref="A20:B20"/>
    <mergeCell ref="A21:B21"/>
    <mergeCell ref="A22:B22"/>
    <mergeCell ref="A24:B24"/>
    <mergeCell ref="A25:B25"/>
    <mergeCell ref="A26:B26"/>
    <mergeCell ref="A23:B23"/>
    <mergeCell ref="A17:E18"/>
  </mergeCells>
  <dataValidations count="2">
    <dataValidation type="list" allowBlank="1" showInputMessage="1" showErrorMessage="1" sqref="J7:K7" xr:uid="{AFF8A7DC-EAA0-4470-8564-6180FB0983D6}">
      <formula1>mois_bon2</formula1>
    </dataValidation>
    <dataValidation type="list" allowBlank="1" showInputMessage="1" showErrorMessage="1" sqref="E7" xr:uid="{4B99E604-3942-4074-B543-ECD254A844A3}">
      <formula1>secteur</formula1>
    </dataValidation>
  </dataValidations>
  <pageMargins left="0.7" right="0.7" top="0.75" bottom="0.75" header="0.3" footer="0.3"/>
  <pageSetup paperSize="9" scale="65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2C313-73CC-47BC-94E6-DC269DA33391}">
  <sheetPr>
    <tabColor rgb="FF7030A0"/>
  </sheetPr>
  <dimension ref="A1:M395"/>
  <sheetViews>
    <sheetView showGridLines="0" topLeftCell="A22" workbookViewId="0">
      <selection activeCell="K45" sqref="K45"/>
    </sheetView>
  </sheetViews>
  <sheetFormatPr baseColWidth="10" defaultRowHeight="17.5" x14ac:dyDescent="0.35"/>
  <cols>
    <col min="1" max="1" width="10.90625" style="8"/>
    <col min="2" max="2" width="11.81640625" style="8" customWidth="1"/>
    <col min="3" max="3" width="14.1796875" style="8" customWidth="1"/>
    <col min="4" max="5" width="10.90625" style="8"/>
    <col min="6" max="6" width="3.54296875" style="8" customWidth="1"/>
    <col min="7" max="8" width="10.90625" style="8"/>
    <col min="9" max="9" width="14.453125" style="8" customWidth="1"/>
    <col min="10" max="10" width="10.90625" style="8"/>
    <col min="11" max="11" width="15.26953125" style="8" bestFit="1" customWidth="1"/>
    <col min="12" max="13" width="10.90625" style="8"/>
  </cols>
  <sheetData>
    <row r="1" spans="1:13" ht="7.5" customHeight="1" x14ac:dyDescent="0.35">
      <c r="A1" s="269" t="s">
        <v>50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</row>
    <row r="2" spans="1:13" ht="13.5" customHeight="1" x14ac:dyDescent="0.35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</row>
    <row r="3" spans="1:13" ht="15" hidden="1" customHeight="1" x14ac:dyDescent="0.35">
      <c r="A3" s="269"/>
      <c r="B3" s="269"/>
      <c r="C3" s="269"/>
      <c r="D3" s="269"/>
      <c r="E3" s="269"/>
      <c r="F3" s="269"/>
      <c r="G3" s="269"/>
      <c r="H3" s="269"/>
      <c r="I3" s="269"/>
      <c r="J3" s="269"/>
      <c r="K3" s="269"/>
    </row>
    <row r="4" spans="1:13" ht="5.25" customHeight="1" x14ac:dyDescent="0.35"/>
    <row r="5" spans="1:13" ht="13.5" customHeight="1" x14ac:dyDescent="0.35">
      <c r="A5" s="34" t="s">
        <v>52</v>
      </c>
    </row>
    <row r="6" spans="1:13" ht="5.25" customHeight="1" thickBot="1" x14ac:dyDescent="0.4">
      <c r="A6" s="34"/>
    </row>
    <row r="7" spans="1:13" s="23" customFormat="1" ht="16.5" thickTop="1" thickBot="1" x14ac:dyDescent="0.4">
      <c r="A7" s="270" t="s">
        <v>44</v>
      </c>
      <c r="B7" s="270"/>
      <c r="C7" s="270"/>
      <c r="D7" s="270"/>
      <c r="E7" s="271" t="s">
        <v>29</v>
      </c>
      <c r="F7" s="272"/>
      <c r="G7" s="273"/>
      <c r="I7" s="36" t="s">
        <v>46</v>
      </c>
      <c r="J7" s="274" t="s">
        <v>252</v>
      </c>
      <c r="K7" s="275"/>
      <c r="M7" s="28"/>
    </row>
    <row r="8" spans="1:13" ht="5.25" customHeight="1" thickTop="1" thickBot="1" x14ac:dyDescent="0.4"/>
    <row r="9" spans="1:13" ht="18.5" thickTop="1" thickBot="1" x14ac:dyDescent="0.4">
      <c r="H9" s="267" t="s">
        <v>53</v>
      </c>
      <c r="I9" s="268"/>
      <c r="J9" s="276">
        <v>46366</v>
      </c>
      <c r="K9" s="277"/>
    </row>
    <row r="10" spans="1:13" ht="18.5" thickTop="1" thickBot="1" x14ac:dyDescent="0.4">
      <c r="J10" s="45"/>
      <c r="K10" s="37"/>
    </row>
    <row r="11" spans="1:13" s="3" customFormat="1" ht="16.5" thickTop="1" thickBot="1" x14ac:dyDescent="0.4">
      <c r="A11" s="270" t="s">
        <v>45</v>
      </c>
      <c r="B11" s="270"/>
      <c r="C11" s="270"/>
      <c r="D11" s="271" t="s">
        <v>122</v>
      </c>
      <c r="E11" s="272"/>
      <c r="F11" s="272"/>
      <c r="G11" s="273"/>
      <c r="H11" s="23"/>
      <c r="I11" s="31" t="s">
        <v>47</v>
      </c>
      <c r="J11" s="271"/>
      <c r="K11" s="273"/>
      <c r="L11" s="23"/>
      <c r="M11" s="23"/>
    </row>
    <row r="12" spans="1:13" s="4" customFormat="1" ht="16.5" thickTop="1" thickBot="1" x14ac:dyDescent="0.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s="25" customFormat="1" ht="16.5" thickTop="1" thickBot="1" x14ac:dyDescent="0.4">
      <c r="A13" s="52" t="s">
        <v>76</v>
      </c>
      <c r="B13" s="46"/>
      <c r="C13" s="35">
        <v>1570000</v>
      </c>
      <c r="D13" s="267" t="s">
        <v>49</v>
      </c>
      <c r="E13" s="267"/>
      <c r="F13" s="32">
        <v>12</v>
      </c>
      <c r="G13" s="30" t="s">
        <v>48</v>
      </c>
      <c r="H13" s="278" t="s">
        <v>57</v>
      </c>
      <c r="I13" s="279"/>
      <c r="J13" s="33">
        <f>IF(C13&lt;1000000,F13*1.5%,F13%)</f>
        <v>0.12</v>
      </c>
      <c r="K13" s="24"/>
      <c r="L13" s="24"/>
      <c r="M13" s="24"/>
    </row>
    <row r="14" spans="1:13" s="4" customFormat="1" ht="16.5" thickTop="1" thickBot="1" x14ac:dyDescent="0.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s="3" customFormat="1" ht="16.5" thickTop="1" thickBot="1" x14ac:dyDescent="0.4">
      <c r="A15" s="23"/>
      <c r="B15" s="23"/>
      <c r="C15" s="23"/>
      <c r="D15" s="23"/>
      <c r="E15" s="23"/>
      <c r="F15" s="23"/>
      <c r="G15" s="23"/>
      <c r="H15" s="267" t="s">
        <v>26</v>
      </c>
      <c r="I15" s="268"/>
      <c r="J15" s="27">
        <f>C13*J13</f>
        <v>188400</v>
      </c>
      <c r="K15" s="23"/>
      <c r="L15" s="23"/>
      <c r="M15" s="23"/>
    </row>
    <row r="16" spans="1:13" s="4" customFormat="1" ht="16.5" thickTop="1" thickBot="1" x14ac:dyDescent="0.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s="4" customFormat="1" ht="18.75" customHeight="1" thickTop="1" thickBot="1" x14ac:dyDescent="0.4">
      <c r="A17" s="280" t="s">
        <v>51</v>
      </c>
      <c r="B17" s="280"/>
      <c r="C17" s="280"/>
      <c r="D17" s="280"/>
      <c r="E17" s="280"/>
      <c r="F17" s="15"/>
      <c r="G17" s="282" t="s">
        <v>73</v>
      </c>
      <c r="H17" s="282"/>
      <c r="I17" s="283"/>
      <c r="J17" s="51">
        <f>C13+J15</f>
        <v>1758400</v>
      </c>
      <c r="K17" s="15"/>
      <c r="L17" s="15"/>
      <c r="M17" s="15"/>
    </row>
    <row r="18" spans="1:13" s="4" customFormat="1" ht="13.5" customHeight="1" thickTop="1" thickBot="1" x14ac:dyDescent="0.4">
      <c r="A18" s="281"/>
      <c r="B18" s="281"/>
      <c r="C18" s="281"/>
      <c r="D18" s="281"/>
      <c r="E18" s="281"/>
      <c r="F18" s="15"/>
      <c r="G18" s="15"/>
      <c r="H18" s="15"/>
      <c r="I18" s="15"/>
      <c r="J18" s="15"/>
      <c r="K18" s="15"/>
      <c r="L18" s="15"/>
      <c r="M18" s="15"/>
    </row>
    <row r="19" spans="1:13" s="4" customFormat="1" ht="42.75" customHeight="1" thickTop="1" thickBot="1" x14ac:dyDescent="0.45">
      <c r="A19" s="284" t="s">
        <v>196</v>
      </c>
      <c r="B19" s="285"/>
      <c r="C19" s="38" t="s">
        <v>54</v>
      </c>
      <c r="D19" s="39" t="s">
        <v>55</v>
      </c>
      <c r="E19" s="40" t="s">
        <v>56</v>
      </c>
      <c r="F19" s="15"/>
      <c r="G19" s="26"/>
      <c r="H19" s="15"/>
      <c r="I19" s="15"/>
      <c r="J19" s="15"/>
      <c r="K19" s="15"/>
      <c r="L19" s="15"/>
      <c r="M19" s="15"/>
    </row>
    <row r="20" spans="1:13" s="4" customFormat="1" ht="16" thickBot="1" x14ac:dyDescent="0.4">
      <c r="A20" s="286">
        <v>45962</v>
      </c>
      <c r="B20" s="287"/>
      <c r="C20" s="41"/>
      <c r="D20" s="44"/>
      <c r="E20" s="43">
        <f t="shared" ref="E20:E33" si="0">C20-D20</f>
        <v>0</v>
      </c>
      <c r="F20" s="15"/>
      <c r="G20" s="15"/>
      <c r="H20" s="15"/>
      <c r="I20" s="15"/>
      <c r="J20" s="15"/>
      <c r="K20" s="15"/>
      <c r="L20" s="15"/>
      <c r="M20" s="15"/>
    </row>
    <row r="21" spans="1:13" s="4" customFormat="1" ht="16" thickBot="1" x14ac:dyDescent="0.4">
      <c r="A21" s="286">
        <v>45992</v>
      </c>
      <c r="B21" s="287"/>
      <c r="C21" s="41"/>
      <c r="D21" s="44"/>
      <c r="E21" s="43">
        <f t="shared" si="0"/>
        <v>0</v>
      </c>
      <c r="F21" s="15"/>
      <c r="G21" s="15"/>
      <c r="H21" s="15"/>
      <c r="I21" s="15"/>
      <c r="J21" s="15"/>
      <c r="K21" s="15"/>
      <c r="L21" s="15"/>
      <c r="M21" s="15"/>
    </row>
    <row r="22" spans="1:13" s="4" customFormat="1" ht="16" thickBot="1" x14ac:dyDescent="0.4">
      <c r="A22" s="286">
        <v>46023</v>
      </c>
      <c r="B22" s="287"/>
      <c r="C22" s="41">
        <f t="shared" ref="C22:C33" si="1">J$17/F$13</f>
        <v>146533.33333333334</v>
      </c>
      <c r="D22" s="44"/>
      <c r="E22" s="43">
        <f t="shared" si="0"/>
        <v>146533.33333333334</v>
      </c>
      <c r="F22" s="15"/>
      <c r="G22" s="15"/>
      <c r="H22" s="15"/>
      <c r="I22" s="15"/>
      <c r="J22" s="15"/>
      <c r="K22" s="15"/>
      <c r="L22" s="15"/>
      <c r="M22" s="15"/>
    </row>
    <row r="23" spans="1:13" s="4" customFormat="1" ht="16" thickBot="1" x14ac:dyDescent="0.4">
      <c r="A23" s="286">
        <v>46054</v>
      </c>
      <c r="B23" s="287"/>
      <c r="C23" s="41">
        <f t="shared" si="1"/>
        <v>146533.33333333334</v>
      </c>
      <c r="D23" s="44"/>
      <c r="E23" s="43">
        <f t="shared" si="0"/>
        <v>146533.33333333334</v>
      </c>
      <c r="F23" s="15"/>
      <c r="G23" s="15"/>
      <c r="H23" s="15"/>
      <c r="I23" s="15"/>
      <c r="J23" s="15"/>
      <c r="K23" s="15"/>
      <c r="L23" s="15"/>
      <c r="M23" s="15"/>
    </row>
    <row r="24" spans="1:13" s="4" customFormat="1" ht="16" thickBot="1" x14ac:dyDescent="0.4">
      <c r="A24" s="286">
        <v>46082</v>
      </c>
      <c r="B24" s="287"/>
      <c r="C24" s="41">
        <f t="shared" si="1"/>
        <v>146533.33333333334</v>
      </c>
      <c r="D24" s="44"/>
      <c r="E24" s="43">
        <f t="shared" si="0"/>
        <v>146533.33333333334</v>
      </c>
      <c r="F24" s="15"/>
      <c r="G24" s="15"/>
      <c r="H24" s="15"/>
      <c r="I24" s="15"/>
      <c r="J24" s="15"/>
      <c r="K24" s="15"/>
      <c r="L24" s="15"/>
      <c r="M24" s="15"/>
    </row>
    <row r="25" spans="1:13" s="4" customFormat="1" ht="16" thickBot="1" x14ac:dyDescent="0.4">
      <c r="A25" s="286">
        <v>46113</v>
      </c>
      <c r="B25" s="287"/>
      <c r="C25" s="41">
        <f t="shared" si="1"/>
        <v>146533.33333333334</v>
      </c>
      <c r="D25" s="44"/>
      <c r="E25" s="43">
        <f t="shared" si="0"/>
        <v>146533.33333333334</v>
      </c>
      <c r="F25" s="15"/>
      <c r="G25" s="15"/>
      <c r="H25" s="15"/>
      <c r="I25" s="15"/>
      <c r="J25" s="15"/>
      <c r="K25" s="15"/>
      <c r="L25" s="15"/>
      <c r="M25" s="15"/>
    </row>
    <row r="26" spans="1:13" s="4" customFormat="1" ht="16" thickBot="1" x14ac:dyDescent="0.4">
      <c r="A26" s="286">
        <v>46143</v>
      </c>
      <c r="B26" s="287"/>
      <c r="C26" s="41">
        <f t="shared" si="1"/>
        <v>146533.33333333334</v>
      </c>
      <c r="D26" s="44"/>
      <c r="E26" s="43">
        <f t="shared" si="0"/>
        <v>146533.33333333334</v>
      </c>
      <c r="F26" s="15"/>
      <c r="G26" s="15"/>
      <c r="H26" s="15"/>
      <c r="I26" s="15"/>
      <c r="J26" s="15"/>
      <c r="K26" s="15"/>
      <c r="L26" s="15"/>
      <c r="M26" s="15"/>
    </row>
    <row r="27" spans="1:13" s="4" customFormat="1" ht="16" thickBot="1" x14ac:dyDescent="0.4">
      <c r="A27" s="286">
        <v>46174</v>
      </c>
      <c r="B27" s="287"/>
      <c r="C27" s="41">
        <f t="shared" si="1"/>
        <v>146533.33333333334</v>
      </c>
      <c r="D27" s="44"/>
      <c r="E27" s="43">
        <f t="shared" si="0"/>
        <v>146533.33333333334</v>
      </c>
      <c r="F27" s="15"/>
      <c r="G27" s="15"/>
      <c r="H27" s="15"/>
      <c r="I27" s="15"/>
      <c r="J27" s="15"/>
      <c r="K27" s="15"/>
      <c r="L27" s="15"/>
      <c r="M27" s="15"/>
    </row>
    <row r="28" spans="1:13" s="4" customFormat="1" ht="16" thickBot="1" x14ac:dyDescent="0.4">
      <c r="A28" s="286">
        <v>46204</v>
      </c>
      <c r="B28" s="287"/>
      <c r="C28" s="41">
        <f t="shared" ref="C28:C29" si="2">J$17/F$13</f>
        <v>146533.33333333334</v>
      </c>
      <c r="D28" s="44"/>
      <c r="E28" s="43">
        <f t="shared" ref="E28:E29" si="3">C28-D28</f>
        <v>146533.33333333334</v>
      </c>
      <c r="F28" s="15"/>
      <c r="G28" s="15"/>
      <c r="H28" s="15"/>
      <c r="I28" s="15"/>
      <c r="J28" s="15"/>
      <c r="K28" s="15"/>
      <c r="L28" s="15"/>
      <c r="M28" s="15"/>
    </row>
    <row r="29" spans="1:13" s="4" customFormat="1" ht="16" thickBot="1" x14ac:dyDescent="0.4">
      <c r="A29" s="286">
        <v>46235</v>
      </c>
      <c r="B29" s="287"/>
      <c r="C29" s="41">
        <f t="shared" si="2"/>
        <v>146533.33333333334</v>
      </c>
      <c r="D29" s="44"/>
      <c r="E29" s="43">
        <f t="shared" si="3"/>
        <v>146533.33333333334</v>
      </c>
      <c r="F29" s="15"/>
      <c r="G29" s="15"/>
      <c r="H29" s="15"/>
      <c r="I29" s="15"/>
      <c r="J29" s="15"/>
      <c r="K29" s="15"/>
      <c r="L29" s="15"/>
      <c r="M29" s="15"/>
    </row>
    <row r="30" spans="1:13" s="4" customFormat="1" ht="16" thickBot="1" x14ac:dyDescent="0.4">
      <c r="A30" s="286">
        <v>46266</v>
      </c>
      <c r="B30" s="287"/>
      <c r="C30" s="41">
        <f t="shared" si="1"/>
        <v>146533.33333333334</v>
      </c>
      <c r="D30" s="44"/>
      <c r="E30" s="43">
        <f t="shared" si="0"/>
        <v>146533.33333333334</v>
      </c>
      <c r="F30" s="15"/>
      <c r="G30" s="15"/>
      <c r="H30" s="15"/>
      <c r="I30" s="15"/>
      <c r="J30" s="15"/>
      <c r="K30" s="15"/>
      <c r="L30" s="15"/>
      <c r="M30" s="15"/>
    </row>
    <row r="31" spans="1:13" s="4" customFormat="1" ht="16" thickBot="1" x14ac:dyDescent="0.4">
      <c r="A31" s="286">
        <v>46296</v>
      </c>
      <c r="B31" s="287"/>
      <c r="C31" s="41">
        <f t="shared" si="1"/>
        <v>146533.33333333334</v>
      </c>
      <c r="D31" s="44"/>
      <c r="E31" s="43">
        <f t="shared" si="0"/>
        <v>146533.33333333334</v>
      </c>
      <c r="F31" s="15"/>
      <c r="G31" s="15"/>
      <c r="H31" s="15"/>
      <c r="I31" s="15"/>
      <c r="J31" s="15"/>
      <c r="K31" s="15"/>
      <c r="L31" s="15"/>
      <c r="M31" s="15"/>
    </row>
    <row r="32" spans="1:13" s="4" customFormat="1" ht="16" thickBot="1" x14ac:dyDescent="0.4">
      <c r="A32" s="286">
        <v>46327</v>
      </c>
      <c r="B32" s="287"/>
      <c r="C32" s="41">
        <f t="shared" si="1"/>
        <v>146533.33333333334</v>
      </c>
      <c r="D32" s="44"/>
      <c r="E32" s="43">
        <f t="shared" si="0"/>
        <v>146533.33333333334</v>
      </c>
      <c r="F32" s="15"/>
      <c r="G32" s="15"/>
      <c r="H32" s="15"/>
      <c r="I32" s="15"/>
      <c r="J32" s="15"/>
      <c r="K32" s="15"/>
      <c r="L32" s="15"/>
      <c r="M32" s="15"/>
    </row>
    <row r="33" spans="1:13" s="4" customFormat="1" ht="16" thickBot="1" x14ac:dyDescent="0.4">
      <c r="A33" s="286">
        <v>46357</v>
      </c>
      <c r="B33" s="287"/>
      <c r="C33" s="41">
        <f t="shared" si="1"/>
        <v>146533.33333333334</v>
      </c>
      <c r="D33" s="44"/>
      <c r="E33" s="43">
        <f t="shared" si="0"/>
        <v>146533.33333333334</v>
      </c>
      <c r="F33" s="15"/>
      <c r="G33" s="15"/>
      <c r="H33" s="15"/>
      <c r="I33" s="15"/>
      <c r="J33" s="15"/>
      <c r="K33" s="15"/>
      <c r="L33" s="15"/>
      <c r="M33" s="15"/>
    </row>
    <row r="34" spans="1:13" s="3" customFormat="1" ht="20.25" customHeight="1" thickBot="1" x14ac:dyDescent="0.4">
      <c r="A34" s="288" t="s">
        <v>43</v>
      </c>
      <c r="B34" s="289"/>
      <c r="C34" s="29">
        <f>SUM(C20:C33)</f>
        <v>1758399.9999999998</v>
      </c>
      <c r="D34" s="29">
        <f>SUM(D20:D33)</f>
        <v>0</v>
      </c>
      <c r="E34" s="29">
        <f>SUM(E20:E33)</f>
        <v>1758399.9999999998</v>
      </c>
      <c r="F34" s="23"/>
      <c r="G34" s="23"/>
      <c r="H34" s="23"/>
      <c r="I34" s="23"/>
      <c r="J34" s="23"/>
      <c r="K34" s="23"/>
      <c r="L34" s="23"/>
      <c r="M34" s="23"/>
    </row>
    <row r="35" spans="1:13" s="4" customFormat="1" ht="16" thickTop="1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 s="4" customFormat="1" ht="15.5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s="4" customFormat="1" ht="15.5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s="4" customFormat="1" ht="15.5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s="4" customFormat="1" ht="15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s="4" customFormat="1" ht="15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s="4" customFormat="1" ht="15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s="4" customFormat="1" ht="15.5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 s="4" customFormat="1" ht="15.5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s="4" customFormat="1" ht="15.5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s="4" customFormat="1" ht="15.5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s="4" customFormat="1" ht="15.5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s="4" customFormat="1" ht="15.5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s="4" customFormat="1" ht="15.5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s="4" customFormat="1" ht="15.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s="4" customFormat="1" ht="15.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s="4" customFormat="1" ht="15.5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s="4" customFormat="1" ht="15.5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s="4" customFormat="1" ht="15.5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s="4" customFormat="1" ht="15.5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s="4" customFormat="1" ht="15.5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 s="4" customFormat="1" ht="15.5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s="4" customFormat="1" ht="15.5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 s="4" customFormat="1" ht="15.5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s="4" customFormat="1" ht="15.5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s="4" customFormat="1" ht="15.5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s="4" customFormat="1" ht="15.5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 s="4" customFormat="1" ht="15.5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s="4" customFormat="1" ht="15.5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 s="4" customFormat="1" ht="15.5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s="4" customFormat="1" ht="15.5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s="4" customFormat="1" ht="15.5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s="4" customFormat="1" ht="15.5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s="4" customFormat="1" ht="15.5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s="4" customFormat="1" ht="15.5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s="4" customFormat="1" ht="15.5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s="4" customFormat="1" ht="15.5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s="4" customFormat="1" ht="15.5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s="4" customFormat="1" ht="15.5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s="4" customFormat="1" ht="15.5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 s="4" customFormat="1" ht="15.5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s="4" customFormat="1" ht="15.5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s="4" customFormat="1" ht="15.5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 s="4" customFormat="1" ht="15.5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s="4" customFormat="1" ht="15.5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s="4" customFormat="1" ht="15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s="4" customFormat="1" ht="15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s="4" customFormat="1" ht="15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 s="4" customFormat="1" ht="15.5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s="4" customFormat="1" ht="15.5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1:13" s="4" customFormat="1" ht="15.5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1:13" s="4" customFormat="1" ht="15.5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 s="4" customFormat="1" ht="15.5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 s="4" customFormat="1" ht="15.5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s="4" customFormat="1" ht="15.5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 s="4" customFormat="1" ht="15.5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 s="4" customFormat="1" ht="15.5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 s="4" customFormat="1" ht="15.5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 s="4" customFormat="1" ht="15.5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1:13" s="4" customFormat="1" ht="15.5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s="4" customFormat="1" ht="15.5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 s="4" customFormat="1" ht="15.5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s="4" customFormat="1" ht="15.5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s="4" customFormat="1" ht="15.5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1:13" s="4" customFormat="1" ht="15.5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 s="4" customFormat="1" ht="15.5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s="4" customFormat="1" ht="15.5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1:13" s="4" customFormat="1" ht="15.5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s="4" customFormat="1" ht="15.5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s="4" customFormat="1" ht="15.5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1:13" s="4" customFormat="1" ht="15.5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1:13" s="4" customFormat="1" ht="15.5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1:13" s="4" customFormat="1" ht="15.5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 s="4" customFormat="1" ht="15.5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1:13" s="4" customFormat="1" ht="15.5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s="4" customFormat="1" ht="15.5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1:13" s="4" customFormat="1" ht="15.5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 s="4" customFormat="1" ht="15.5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1:13" s="4" customFormat="1" ht="15.5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 s="4" customFormat="1" ht="15.5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 s="4" customFormat="1" ht="15.5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 s="4" customFormat="1" ht="15.5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 s="4" customFormat="1" ht="15.5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 s="4" customFormat="1" ht="15.5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 s="4" customFormat="1" ht="15.5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 s="4" customFormat="1" ht="15.5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 s="4" customFormat="1" ht="15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1:13" s="4" customFormat="1" ht="15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1:13" s="4" customFormat="1" ht="15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1:13" s="4" customFormat="1" ht="15.5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1:13" s="4" customFormat="1" ht="15.5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1:13" s="4" customFormat="1" ht="15.5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 s="4" customFormat="1" ht="15.5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1:13" s="4" customFormat="1" ht="15.5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s="4" customFormat="1" ht="15.5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3" s="4" customFormat="1" ht="15.5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1:13" s="4" customFormat="1" ht="15.5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 s="4" customFormat="1" ht="15.5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 s="4" customFormat="1" ht="15.5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 s="4" customFormat="1" ht="15.5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 s="4" customFormat="1" ht="15.5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 s="4" customFormat="1" ht="15.5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1:13" s="4" customFormat="1" ht="15.5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1:13" s="4" customFormat="1" ht="15.5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1:13" s="4" customFormat="1" ht="15.5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 s="4" customFormat="1" ht="15.5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1:13" s="4" customFormat="1" ht="15.5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 s="4" customFormat="1" ht="15.5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 s="4" customFormat="1" ht="15.5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1:13" s="4" customFormat="1" ht="15.5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1:13" s="4" customFormat="1" ht="15.5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 s="4" customFormat="1" ht="15.5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1:13" s="4" customFormat="1" ht="15.5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 s="4" customFormat="1" ht="15.5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1:13" s="4" customFormat="1" ht="15.5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1:13" s="4" customFormat="1" ht="15.5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 s="4" customFormat="1" ht="15.5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 s="4" customFormat="1" ht="15.5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s="4" customFormat="1" ht="15.5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 s="4" customFormat="1" ht="15.5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1:13" s="4" customFormat="1" ht="15.5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 s="4" customFormat="1" ht="15.5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spans="1:13" s="4" customFormat="1" ht="15.5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spans="1:13" s="4" customFormat="1" ht="15.5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spans="1:13" s="4" customFormat="1" ht="15.5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1:13" s="4" customFormat="1" ht="15.5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1:13" s="4" customFormat="1" ht="15.5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1:13" s="4" customFormat="1" ht="15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1:13" s="4" customFormat="1" ht="15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1:13" s="4" customFormat="1" ht="15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spans="1:13" s="4" customFormat="1" ht="15.5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1:13" s="4" customFormat="1" ht="15.5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1:13" s="4" customFormat="1" ht="15.5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spans="1:13" s="4" customFormat="1" ht="15.5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spans="1:13" s="4" customFormat="1" ht="15.5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spans="1:13" s="4" customFormat="1" ht="15.5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spans="1:13" s="4" customFormat="1" ht="15.5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spans="1:13" s="4" customFormat="1" ht="15.5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spans="1:13" s="4" customFormat="1" ht="15.5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spans="1:13" s="4" customFormat="1" ht="15.5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spans="1:13" s="4" customFormat="1" ht="15.5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spans="1:13" s="4" customFormat="1" ht="15.5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spans="1:13" s="4" customFormat="1" ht="15.5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1:13" s="4" customFormat="1" ht="15.5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spans="1:13" s="4" customFormat="1" ht="15.5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1:13" s="4" customFormat="1" ht="15.5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spans="1:13" s="4" customFormat="1" ht="15.5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1:13" s="4" customFormat="1" ht="15.5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spans="1:13" s="4" customFormat="1" ht="15.5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1:13" s="4" customFormat="1" ht="15.5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spans="1:13" s="4" customFormat="1" ht="15.5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spans="1:13" s="4" customFormat="1" ht="15.5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spans="1:13" s="4" customFormat="1" ht="15.5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1:13" s="4" customFormat="1" ht="15.5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spans="1:13" s="4" customFormat="1" ht="15.5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1:13" s="4" customFormat="1" ht="15.5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spans="1:13" s="4" customFormat="1" ht="15.5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spans="1:13" s="4" customFormat="1" ht="15.5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spans="1:13" s="4" customFormat="1" ht="15.5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spans="1:13" s="4" customFormat="1" ht="15.5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spans="1:13" s="4" customFormat="1" ht="15.5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1:13" s="4" customFormat="1" ht="15.5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spans="1:13" s="4" customFormat="1" ht="15.5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spans="1:13" s="4" customFormat="1" ht="15.5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1:13" s="4" customFormat="1" ht="15.5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1:13" s="4" customFormat="1" ht="15.5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1:13" s="4" customFormat="1" ht="15.5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spans="1:13" s="4" customFormat="1" ht="15.5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spans="1:13" s="4" customFormat="1" ht="15.5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  <row r="204" spans="1:13" s="4" customFormat="1" ht="15.5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</row>
    <row r="205" spans="1:13" s="4" customFormat="1" ht="15.5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</row>
    <row r="206" spans="1:13" s="4" customFormat="1" ht="15.5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1:13" s="4" customFormat="1" ht="15.5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spans="1:13" s="4" customFormat="1" ht="15.5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1:13" s="4" customFormat="1" ht="15.5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</row>
    <row r="210" spans="1:13" s="4" customFormat="1" ht="15.5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</row>
    <row r="211" spans="1:13" s="4" customFormat="1" ht="15.5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</row>
    <row r="212" spans="1:13" s="4" customFormat="1" ht="15.5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spans="1:13" s="4" customFormat="1" ht="15.5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</row>
    <row r="214" spans="1:13" s="4" customFormat="1" ht="15.5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spans="1:13" s="4" customFormat="1" ht="15.5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spans="1:13" s="4" customFormat="1" ht="15.5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spans="1:13" s="4" customFormat="1" ht="15.5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spans="1:13" s="4" customFormat="1" ht="15.5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spans="1:13" s="4" customFormat="1" ht="15.5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spans="1:13" s="4" customFormat="1" ht="15.5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spans="1:13" s="4" customFormat="1" ht="15.5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spans="1:13" s="4" customFormat="1" ht="15.5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spans="1:13" s="4" customFormat="1" ht="15.5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spans="1:13" s="4" customFormat="1" ht="15.5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5" spans="1:13" s="4" customFormat="1" ht="15.5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spans="1:13" s="4" customFormat="1" ht="15.5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27" spans="1:13" s="4" customFormat="1" ht="15.5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spans="1:13" s="4" customFormat="1" ht="15.5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spans="1:13" s="4" customFormat="1" ht="15.5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spans="1:13" s="4" customFormat="1" ht="15.5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</row>
    <row r="231" spans="1:13" s="4" customFormat="1" ht="15.5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</row>
    <row r="232" spans="1:13" s="4" customFormat="1" ht="15.5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</row>
    <row r="233" spans="1:13" s="4" customFormat="1" ht="15.5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</row>
    <row r="234" spans="1:13" s="4" customFormat="1" ht="15.5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spans="1:13" s="4" customFormat="1" ht="15.5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</row>
    <row r="236" spans="1:13" s="4" customFormat="1" ht="15.5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spans="1:13" s="4" customFormat="1" ht="15.5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</row>
    <row r="238" spans="1:13" s="4" customFormat="1" ht="15.5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spans="1:13" s="4" customFormat="1" ht="15.5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</row>
    <row r="240" spans="1:13" s="4" customFormat="1" ht="15.5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spans="1:13" s="4" customFormat="1" ht="15.5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</row>
    <row r="242" spans="1:13" s="4" customFormat="1" ht="15.5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3" spans="1:13" s="4" customFormat="1" ht="15.5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</row>
    <row r="244" spans="1:13" s="4" customFormat="1" ht="15.5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1:13" s="4" customFormat="1" ht="15.5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spans="1:13" s="4" customFormat="1" ht="15.5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spans="1:13" s="4" customFormat="1" ht="15.5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spans="1:13" s="4" customFormat="1" ht="15.5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spans="1:13" s="4" customFormat="1" ht="15.5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spans="1:13" s="4" customFormat="1" ht="15.5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</row>
    <row r="251" spans="1:13" s="4" customFormat="1" ht="15.5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spans="1:13" s="4" customFormat="1" ht="15.5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spans="1:13" s="4" customFormat="1" ht="15.5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</row>
    <row r="254" spans="1:13" s="4" customFormat="1" ht="15.5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spans="1:13" s="4" customFormat="1" ht="15.5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</row>
    <row r="256" spans="1:13" s="4" customFormat="1" ht="15.5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</row>
    <row r="257" spans="1:13" s="4" customFormat="1" ht="15.5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spans="1:13" s="4" customFormat="1" ht="15.5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</row>
    <row r="259" spans="1:13" s="4" customFormat="1" ht="15.5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spans="1:13" s="4" customFormat="1" ht="15.5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spans="1:13" s="4" customFormat="1" ht="15.5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spans="1:13" s="4" customFormat="1" ht="15.5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spans="1:13" s="4" customFormat="1" ht="15.5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spans="1:13" s="4" customFormat="1" ht="15.5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spans="1:13" s="4" customFormat="1" ht="15.5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spans="1:13" s="4" customFormat="1" ht="15.5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spans="1:13" s="4" customFormat="1" ht="15.5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</row>
    <row r="268" spans="1:13" s="4" customFormat="1" ht="15.5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spans="1:13" s="4" customFormat="1" ht="15.5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</row>
    <row r="270" spans="1:13" s="4" customFormat="1" ht="15.5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</row>
    <row r="271" spans="1:13" s="4" customFormat="1" ht="15.5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</row>
    <row r="272" spans="1:13" s="4" customFormat="1" ht="15.5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spans="1:13" s="4" customFormat="1" ht="15.5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spans="1:13" s="4" customFormat="1" ht="15.5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</row>
    <row r="275" spans="1:13" s="4" customFormat="1" ht="15.5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</row>
    <row r="276" spans="1:13" s="4" customFormat="1" ht="15.5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spans="1:13" s="4" customFormat="1" ht="15.5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 spans="1:13" s="4" customFormat="1" ht="15.5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 spans="1:13" s="4" customFormat="1" ht="15.5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 spans="1:13" s="4" customFormat="1" ht="15.5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spans="1:13" s="4" customFormat="1" ht="15.5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 spans="1:13" s="4" customFormat="1" ht="15.5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spans="1:13" s="4" customFormat="1" ht="15.5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spans="1:13" s="4" customFormat="1" ht="15.5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spans="1:13" s="4" customFormat="1" ht="15.5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spans="1:13" s="4" customFormat="1" ht="15.5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 spans="1:13" s="4" customFormat="1" ht="15.5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 spans="1:13" s="4" customFormat="1" ht="15.5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 spans="1:13" s="4" customFormat="1" ht="15.5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spans="1:13" s="4" customFormat="1" ht="15.5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 spans="1:13" s="4" customFormat="1" ht="15.5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 spans="1:13" s="4" customFormat="1" ht="15.5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 spans="1:13" s="4" customFormat="1" ht="15.5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spans="1:13" s="4" customFormat="1" ht="15.5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 spans="1:13" s="4" customFormat="1" ht="15.5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spans="1:13" s="4" customFormat="1" ht="15.5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 spans="1:13" s="4" customFormat="1" ht="15.5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spans="1:13" s="4" customFormat="1" ht="15.5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 spans="1:13" s="4" customFormat="1" ht="15.5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 spans="1:13" s="4" customFormat="1" ht="15.5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 spans="1:13" s="4" customFormat="1" ht="15.5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spans="1:13" s="4" customFormat="1" ht="15.5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spans="1:13" s="4" customFormat="1" ht="15.5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spans="1:13" s="4" customFormat="1" ht="15.5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 spans="1:13" s="4" customFormat="1" ht="15.5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 spans="1:13" s="4" customFormat="1" ht="15.5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 spans="1:13" s="4" customFormat="1" ht="15.5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 spans="1:13" s="4" customFormat="1" ht="15.5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 spans="1:13" s="4" customFormat="1" ht="15.5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spans="1:13" s="4" customFormat="1" ht="15.5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 spans="1:13" s="4" customFormat="1" ht="15.5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 spans="1:13" s="4" customFormat="1" ht="15.5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 spans="1:13" s="4" customFormat="1" ht="15.5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 spans="1:13" s="4" customFormat="1" ht="15.5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spans="1:13" s="4" customFormat="1" ht="15.5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 spans="1:13" s="4" customFormat="1" ht="15.5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 spans="1:13" s="4" customFormat="1" ht="15.5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 spans="1:13" s="4" customFormat="1" ht="15.5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 spans="1:13" s="4" customFormat="1" ht="15.5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 spans="1:13" s="4" customFormat="1" ht="15.5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spans="1:13" s="4" customFormat="1" ht="15.5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spans="1:13" s="4" customFormat="1" ht="15.5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spans="1:13" s="4" customFormat="1" ht="15.5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 spans="1:13" s="4" customFormat="1" ht="15.5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 spans="1:13" s="4" customFormat="1" ht="15.5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spans="1:13" s="4" customFormat="1" ht="15.5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 spans="1:13" s="4" customFormat="1" ht="15.5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 spans="1:13" s="4" customFormat="1" ht="15.5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spans="1:13" s="4" customFormat="1" ht="15.5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 spans="1:13" s="4" customFormat="1" ht="15.5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 spans="1:13" s="4" customFormat="1" ht="15.5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 spans="1:13" s="4" customFormat="1" ht="15.5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spans="1:13" s="4" customFormat="1" ht="15.5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 spans="1:13" s="4" customFormat="1" ht="15.5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spans="1:13" s="4" customFormat="1" ht="15.5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 spans="1:13" s="4" customFormat="1" ht="15.5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spans="1:13" s="4" customFormat="1" ht="15.5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 spans="1:13" s="4" customFormat="1" ht="15.5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 spans="1:13" s="4" customFormat="1" ht="15.5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spans="1:13" s="4" customFormat="1" ht="15.5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spans="1:13" s="4" customFormat="1" ht="15.5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spans="1:13" s="4" customFormat="1" ht="15.5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spans="1:13" s="4" customFormat="1" ht="15.5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 spans="1:13" s="4" customFormat="1" ht="15.5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 spans="1:13" s="4" customFormat="1" ht="15.5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spans="1:13" s="4" customFormat="1" ht="15.5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 spans="1:13" s="4" customFormat="1" ht="15.5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 spans="1:13" s="4" customFormat="1" ht="15.5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 spans="1:13" s="4" customFormat="1" ht="15.5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 spans="1:13" s="4" customFormat="1" ht="15.5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spans="1:13" s="4" customFormat="1" ht="15.5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 spans="1:13" s="4" customFormat="1" ht="15.5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 spans="1:13" s="4" customFormat="1" ht="15.5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 spans="1:13" s="4" customFormat="1" ht="15.5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 spans="1:13" s="4" customFormat="1" ht="15.5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 spans="1:13" s="4" customFormat="1" ht="15.5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 spans="1:13" s="4" customFormat="1" ht="15.5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 spans="1:13" s="4" customFormat="1" ht="15.5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spans="1:13" s="4" customFormat="1" ht="15.5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spans="1:13" s="4" customFormat="1" ht="15.5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spans="1:13" s="4" customFormat="1" ht="15.5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 spans="1:13" s="4" customFormat="1" ht="15.5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spans="1:13" s="4" customFormat="1" ht="15.5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 spans="1:13" s="4" customFormat="1" ht="15.5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 spans="1:13" s="4" customFormat="1" ht="15.5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 spans="1:13" s="4" customFormat="1" ht="15.5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 spans="1:13" s="4" customFormat="1" ht="15.5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 spans="1:13" s="4" customFormat="1" ht="15.5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 spans="1:13" s="4" customFormat="1" ht="15.5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 spans="1:13" s="4" customFormat="1" ht="15.5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spans="1:13" s="4" customFormat="1" ht="15.5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 spans="1:13" s="4" customFormat="1" ht="15.5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 spans="1:13" s="4" customFormat="1" ht="15.5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spans="1:13" s="4" customFormat="1" ht="15.5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spans="1:13" s="4" customFormat="1" ht="15.5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spans="1:13" s="4" customFormat="1" ht="15.5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 spans="1:13" s="4" customFormat="1" ht="15.5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spans="1:13" s="4" customFormat="1" ht="15.5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 spans="1:13" s="4" customFormat="1" ht="15.5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 spans="1:13" s="4" customFormat="1" ht="15.5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 spans="1:13" s="4" customFormat="1" ht="15.5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 spans="1:13" s="4" customFormat="1" ht="15.5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 spans="1:13" s="4" customFormat="1" ht="15.5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spans="1:13" s="4" customFormat="1" ht="15.5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 spans="1:13" s="4" customFormat="1" ht="15.5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 spans="1:13" s="4" customFormat="1" ht="15.5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  <row r="387" spans="1:13" s="4" customFormat="1" ht="15.5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</row>
    <row r="388" spans="1:13" s="4" customFormat="1" ht="15.5" x14ac:dyDescent="0.3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</row>
    <row r="389" spans="1:13" s="4" customFormat="1" ht="15.5" x14ac:dyDescent="0.3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</row>
    <row r="390" spans="1:13" s="4" customFormat="1" ht="15.5" x14ac:dyDescent="0.3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</row>
    <row r="391" spans="1:13" s="4" customFormat="1" ht="15.5" x14ac:dyDescent="0.3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</row>
    <row r="392" spans="1:13" s="4" customFormat="1" ht="15.5" x14ac:dyDescent="0.3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</row>
    <row r="393" spans="1:13" s="4" customFormat="1" ht="15.5" x14ac:dyDescent="0.3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</row>
    <row r="394" spans="1:13" s="4" customFormat="1" ht="15.5" x14ac:dyDescent="0.3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</row>
    <row r="395" spans="1:13" s="4" customFormat="1" ht="15.5" x14ac:dyDescent="0.3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</row>
  </sheetData>
  <mergeCells count="30">
    <mergeCell ref="A31:B31"/>
    <mergeCell ref="A32:B32"/>
    <mergeCell ref="A33:B33"/>
    <mergeCell ref="A34:B34"/>
    <mergeCell ref="A28:B28"/>
    <mergeCell ref="A29:B29"/>
    <mergeCell ref="A30:B30"/>
    <mergeCell ref="A23:B23"/>
    <mergeCell ref="A24:B24"/>
    <mergeCell ref="A25:B25"/>
    <mergeCell ref="A26:B26"/>
    <mergeCell ref="A27:B27"/>
    <mergeCell ref="A22:B22"/>
    <mergeCell ref="A11:C11"/>
    <mergeCell ref="D11:G11"/>
    <mergeCell ref="J11:K11"/>
    <mergeCell ref="D13:E13"/>
    <mergeCell ref="H13:I13"/>
    <mergeCell ref="H15:I15"/>
    <mergeCell ref="A17:E18"/>
    <mergeCell ref="G17:I17"/>
    <mergeCell ref="A19:B19"/>
    <mergeCell ref="A20:B20"/>
    <mergeCell ref="A21:B21"/>
    <mergeCell ref="A1:K3"/>
    <mergeCell ref="A7:D7"/>
    <mergeCell ref="E7:G7"/>
    <mergeCell ref="J7:K7"/>
    <mergeCell ref="H9:I9"/>
    <mergeCell ref="J9:K9"/>
  </mergeCells>
  <dataValidations count="2">
    <dataValidation type="list" allowBlank="1" showInputMessage="1" showErrorMessage="1" sqref="J7:K7" xr:uid="{55126E08-ECC7-4CCB-85D3-6F0B9BB7A58D}">
      <formula1>mois_bon2</formula1>
    </dataValidation>
    <dataValidation type="list" allowBlank="1" showInputMessage="1" showErrorMessage="1" sqref="E7" xr:uid="{6CA2D473-7661-47B0-98C6-1040FC34E6CF}">
      <formula1>secteur</formula1>
    </dataValidation>
  </dataValidations>
  <pageMargins left="0.7" right="0.7" top="0.75" bottom="0.75" header="0.3" footer="0.3"/>
  <pageSetup paperSize="9" scale="65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762B-8D87-46A5-80AD-5F57733654E2}">
  <sheetPr>
    <tabColor rgb="FF7030A0"/>
  </sheetPr>
  <dimension ref="A1:M386"/>
  <sheetViews>
    <sheetView showGridLines="0" topLeftCell="A10" workbookViewId="0">
      <selection activeCell="A20" sqref="A20:B24"/>
    </sheetView>
  </sheetViews>
  <sheetFormatPr baseColWidth="10" defaultRowHeight="17.5" x14ac:dyDescent="0.35"/>
  <cols>
    <col min="1" max="1" width="10.90625" style="8"/>
    <col min="2" max="2" width="11.81640625" style="8" customWidth="1"/>
    <col min="3" max="3" width="14.1796875" style="8" customWidth="1"/>
    <col min="4" max="5" width="10.90625" style="8"/>
    <col min="6" max="6" width="3.54296875" style="8" customWidth="1"/>
    <col min="7" max="8" width="10.90625" style="8"/>
    <col min="9" max="9" width="14.453125" style="8" customWidth="1"/>
    <col min="10" max="10" width="10.90625" style="8"/>
    <col min="11" max="11" width="15.26953125" style="8" bestFit="1" customWidth="1"/>
    <col min="12" max="13" width="10.90625" style="8"/>
  </cols>
  <sheetData>
    <row r="1" spans="1:13" ht="7.5" customHeight="1" x14ac:dyDescent="0.35">
      <c r="A1" s="269" t="s">
        <v>50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</row>
    <row r="2" spans="1:13" ht="13.5" customHeight="1" x14ac:dyDescent="0.35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</row>
    <row r="3" spans="1:13" ht="15" hidden="1" customHeight="1" x14ac:dyDescent="0.35">
      <c r="A3" s="269"/>
      <c r="B3" s="269"/>
      <c r="C3" s="269"/>
      <c r="D3" s="269"/>
      <c r="E3" s="269"/>
      <c r="F3" s="269"/>
      <c r="G3" s="269"/>
      <c r="H3" s="269"/>
      <c r="I3" s="269"/>
      <c r="J3" s="269"/>
      <c r="K3" s="269"/>
    </row>
    <row r="4" spans="1:13" ht="5.25" customHeight="1" x14ac:dyDescent="0.35"/>
    <row r="5" spans="1:13" ht="13.5" customHeight="1" x14ac:dyDescent="0.35">
      <c r="A5" s="34" t="s">
        <v>52</v>
      </c>
    </row>
    <row r="6" spans="1:13" ht="5.25" customHeight="1" thickBot="1" x14ac:dyDescent="0.4">
      <c r="A6" s="34"/>
    </row>
    <row r="7" spans="1:13" s="23" customFormat="1" ht="16.5" thickTop="1" thickBot="1" x14ac:dyDescent="0.4">
      <c r="A7" s="270" t="s">
        <v>44</v>
      </c>
      <c r="B7" s="270"/>
      <c r="C7" s="270"/>
      <c r="D7" s="270"/>
      <c r="E7" s="271" t="s">
        <v>28</v>
      </c>
      <c r="F7" s="272"/>
      <c r="G7" s="273"/>
      <c r="I7" s="36" t="s">
        <v>46</v>
      </c>
      <c r="J7" s="274" t="s">
        <v>252</v>
      </c>
      <c r="K7" s="275"/>
      <c r="M7" s="28"/>
    </row>
    <row r="8" spans="1:13" ht="5.25" customHeight="1" thickTop="1" thickBot="1" x14ac:dyDescent="0.4"/>
    <row r="9" spans="1:13" ht="18.5" thickTop="1" thickBot="1" x14ac:dyDescent="0.4">
      <c r="H9" s="267" t="s">
        <v>53</v>
      </c>
      <c r="I9" s="268"/>
      <c r="J9" s="276">
        <v>46091</v>
      </c>
      <c r="K9" s="277"/>
    </row>
    <row r="10" spans="1:13" ht="18.5" thickTop="1" thickBot="1" x14ac:dyDescent="0.4">
      <c r="J10" s="45"/>
      <c r="K10" s="37"/>
    </row>
    <row r="11" spans="1:13" s="3" customFormat="1" ht="16.5" thickTop="1" thickBot="1" x14ac:dyDescent="0.4">
      <c r="A11" s="270" t="s">
        <v>45</v>
      </c>
      <c r="B11" s="270"/>
      <c r="C11" s="270"/>
      <c r="D11" s="271" t="s">
        <v>7</v>
      </c>
      <c r="E11" s="272"/>
      <c r="F11" s="272"/>
      <c r="G11" s="273"/>
      <c r="H11" s="23"/>
      <c r="I11" s="31" t="s">
        <v>47</v>
      </c>
      <c r="J11" s="271"/>
      <c r="K11" s="273"/>
      <c r="L11" s="23"/>
      <c r="M11" s="23"/>
    </row>
    <row r="12" spans="1:13" s="4" customFormat="1" ht="16.5" thickTop="1" thickBot="1" x14ac:dyDescent="0.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s="25" customFormat="1" ht="16.5" thickTop="1" thickBot="1" x14ac:dyDescent="0.4">
      <c r="A13" s="52" t="s">
        <v>76</v>
      </c>
      <c r="B13" s="46"/>
      <c r="C13" s="35">
        <v>3100000</v>
      </c>
      <c r="D13" s="267" t="s">
        <v>49</v>
      </c>
      <c r="E13" s="267"/>
      <c r="F13" s="32">
        <v>3</v>
      </c>
      <c r="G13" s="30" t="s">
        <v>48</v>
      </c>
      <c r="H13" s="278" t="s">
        <v>57</v>
      </c>
      <c r="I13" s="279"/>
      <c r="J13" s="33">
        <f>IF(C13&lt;1000000,F13*1.5%,F13%)</f>
        <v>0.03</v>
      </c>
      <c r="K13" s="24"/>
      <c r="L13" s="24"/>
      <c r="M13" s="24"/>
    </row>
    <row r="14" spans="1:13" s="4" customFormat="1" ht="16.5" thickTop="1" thickBot="1" x14ac:dyDescent="0.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s="3" customFormat="1" ht="16.5" thickTop="1" thickBot="1" x14ac:dyDescent="0.4">
      <c r="A15" s="23"/>
      <c r="B15" s="23"/>
      <c r="C15" s="23"/>
      <c r="D15" s="23"/>
      <c r="E15" s="23"/>
      <c r="F15" s="23"/>
      <c r="G15" s="23"/>
      <c r="H15" s="267" t="s">
        <v>26</v>
      </c>
      <c r="I15" s="268"/>
      <c r="J15" s="27">
        <f>C13*J13</f>
        <v>93000</v>
      </c>
      <c r="K15" s="23"/>
      <c r="L15" s="23"/>
      <c r="M15" s="23"/>
    </row>
    <row r="16" spans="1:13" s="4" customFormat="1" ht="16.5" thickTop="1" thickBot="1" x14ac:dyDescent="0.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s="4" customFormat="1" ht="18.75" customHeight="1" thickTop="1" thickBot="1" x14ac:dyDescent="0.4">
      <c r="A17" s="280" t="s">
        <v>51</v>
      </c>
      <c r="B17" s="280"/>
      <c r="C17" s="280"/>
      <c r="D17" s="280"/>
      <c r="E17" s="280"/>
      <c r="F17" s="15"/>
      <c r="G17" s="282" t="s">
        <v>73</v>
      </c>
      <c r="H17" s="282"/>
      <c r="I17" s="283"/>
      <c r="J17" s="51">
        <f>C13+J15</f>
        <v>3193000</v>
      </c>
      <c r="K17" s="15"/>
      <c r="L17" s="15"/>
      <c r="M17" s="15"/>
    </row>
    <row r="18" spans="1:13" s="4" customFormat="1" ht="13.5" customHeight="1" thickTop="1" thickBot="1" x14ac:dyDescent="0.4">
      <c r="A18" s="281"/>
      <c r="B18" s="281"/>
      <c r="C18" s="281"/>
      <c r="D18" s="281"/>
      <c r="E18" s="281"/>
      <c r="F18" s="15"/>
      <c r="G18" s="15"/>
      <c r="H18" s="15"/>
      <c r="I18" s="15"/>
      <c r="J18" s="15"/>
      <c r="K18" s="15"/>
      <c r="L18" s="15"/>
      <c r="M18" s="15"/>
    </row>
    <row r="19" spans="1:13" s="4" customFormat="1" ht="42.75" customHeight="1" thickTop="1" thickBot="1" x14ac:dyDescent="0.45">
      <c r="A19" s="284" t="s">
        <v>196</v>
      </c>
      <c r="B19" s="285"/>
      <c r="C19" s="38" t="s">
        <v>54</v>
      </c>
      <c r="D19" s="39" t="s">
        <v>55</v>
      </c>
      <c r="E19" s="40" t="s">
        <v>56</v>
      </c>
      <c r="F19" s="15"/>
      <c r="G19" s="26"/>
      <c r="H19" s="15"/>
      <c r="I19" s="15"/>
      <c r="J19" s="15"/>
      <c r="K19" s="15"/>
      <c r="L19" s="15"/>
      <c r="M19" s="15"/>
    </row>
    <row r="20" spans="1:13" s="4" customFormat="1" ht="16" thickBot="1" x14ac:dyDescent="0.4">
      <c r="A20" s="286">
        <v>45962</v>
      </c>
      <c r="B20" s="287"/>
      <c r="C20" s="41"/>
      <c r="D20" s="44"/>
      <c r="E20" s="43">
        <f t="shared" ref="E20:E24" si="0">C20-D20</f>
        <v>0</v>
      </c>
      <c r="F20" s="15"/>
      <c r="G20" s="15"/>
      <c r="H20" s="15"/>
      <c r="I20" s="15"/>
      <c r="J20" s="15"/>
      <c r="K20" s="15"/>
      <c r="L20" s="15"/>
      <c r="M20" s="15"/>
    </row>
    <row r="21" spans="1:13" s="4" customFormat="1" ht="16" thickBot="1" x14ac:dyDescent="0.4">
      <c r="A21" s="286">
        <v>45992</v>
      </c>
      <c r="B21" s="287"/>
      <c r="C21" s="41"/>
      <c r="D21" s="44"/>
      <c r="E21" s="43">
        <f t="shared" si="0"/>
        <v>0</v>
      </c>
      <c r="F21" s="15"/>
      <c r="G21" s="15"/>
      <c r="H21" s="15"/>
      <c r="I21" s="15"/>
      <c r="J21" s="15"/>
      <c r="K21" s="15"/>
      <c r="L21" s="15"/>
      <c r="M21" s="15"/>
    </row>
    <row r="22" spans="1:13" s="4" customFormat="1" ht="16" thickBot="1" x14ac:dyDescent="0.4">
      <c r="A22" s="286">
        <v>46023</v>
      </c>
      <c r="B22" s="287"/>
      <c r="C22" s="41">
        <f t="shared" ref="C22:C24" si="1">J$17/F$13</f>
        <v>1064333.3333333333</v>
      </c>
      <c r="D22" s="44"/>
      <c r="E22" s="43">
        <f t="shared" si="0"/>
        <v>1064333.3333333333</v>
      </c>
      <c r="F22" s="15"/>
      <c r="G22" s="15"/>
      <c r="H22" s="15"/>
      <c r="I22" s="15"/>
      <c r="J22" s="15"/>
      <c r="K22" s="15"/>
      <c r="L22" s="15"/>
      <c r="M22" s="15"/>
    </row>
    <row r="23" spans="1:13" s="4" customFormat="1" ht="16" thickBot="1" x14ac:dyDescent="0.4">
      <c r="A23" s="286">
        <v>46054</v>
      </c>
      <c r="B23" s="287"/>
      <c r="C23" s="41">
        <f t="shared" si="1"/>
        <v>1064333.3333333333</v>
      </c>
      <c r="D23" s="44"/>
      <c r="E23" s="43">
        <f t="shared" si="0"/>
        <v>1064333.3333333333</v>
      </c>
      <c r="F23" s="15"/>
      <c r="G23" s="15"/>
      <c r="H23" s="15"/>
      <c r="I23" s="15"/>
      <c r="J23" s="15"/>
      <c r="K23" s="15"/>
      <c r="L23" s="15"/>
      <c r="M23" s="15"/>
    </row>
    <row r="24" spans="1:13" s="4" customFormat="1" ht="16" thickBot="1" x14ac:dyDescent="0.4">
      <c r="A24" s="286">
        <v>46082</v>
      </c>
      <c r="B24" s="287"/>
      <c r="C24" s="41">
        <f t="shared" si="1"/>
        <v>1064333.3333333333</v>
      </c>
      <c r="D24" s="44"/>
      <c r="E24" s="43">
        <f t="shared" si="0"/>
        <v>1064333.3333333333</v>
      </c>
      <c r="F24" s="15"/>
      <c r="G24" s="15"/>
      <c r="H24" s="15"/>
      <c r="I24" s="15"/>
      <c r="J24" s="15"/>
      <c r="K24" s="15"/>
      <c r="L24" s="15"/>
      <c r="M24" s="15"/>
    </row>
    <row r="25" spans="1:13" s="3" customFormat="1" ht="20.25" customHeight="1" thickBot="1" x14ac:dyDescent="0.4">
      <c r="A25" s="288" t="s">
        <v>43</v>
      </c>
      <c r="B25" s="289"/>
      <c r="C25" s="29">
        <f>SUM(C20:C24)</f>
        <v>3193000</v>
      </c>
      <c r="D25" s="29">
        <f>SUM(D20:D24)</f>
        <v>0</v>
      </c>
      <c r="E25" s="29">
        <f>SUM(E20:E24)</f>
        <v>3193000</v>
      </c>
      <c r="F25" s="23"/>
      <c r="G25" s="23"/>
      <c r="H25" s="23"/>
      <c r="I25" s="23"/>
      <c r="J25" s="23"/>
      <c r="K25" s="23"/>
      <c r="L25" s="23"/>
      <c r="M25" s="23"/>
    </row>
    <row r="26" spans="1:13" s="4" customFormat="1" ht="16" thickTop="1" x14ac:dyDescent="0.3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spans="1:13" s="4" customFormat="1" ht="15.5" x14ac:dyDescent="0.3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</row>
    <row r="28" spans="1:13" s="4" customFormat="1" ht="15.5" x14ac:dyDescent="0.3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1:13" s="4" customFormat="1" ht="15.5" x14ac:dyDescent="0.3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</row>
    <row r="30" spans="1:13" s="4" customFormat="1" ht="15.5" x14ac:dyDescent="0.3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</row>
    <row r="31" spans="1:13" s="4" customFormat="1" ht="15.5" x14ac:dyDescent="0.3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1:13" s="4" customFormat="1" ht="15.5" x14ac:dyDescent="0.3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1:13" s="4" customFormat="1" ht="15.5" x14ac:dyDescent="0.3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13" s="4" customFormat="1" ht="15.5" x14ac:dyDescent="0.3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1:13" s="4" customFormat="1" ht="15.5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 s="4" customFormat="1" ht="15.5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s="4" customFormat="1" ht="15.5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s="4" customFormat="1" ht="15.5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s="4" customFormat="1" ht="15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s="4" customFormat="1" ht="15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s="4" customFormat="1" ht="15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s="4" customFormat="1" ht="15.5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 s="4" customFormat="1" ht="15.5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s="4" customFormat="1" ht="15.5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s="4" customFormat="1" ht="15.5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s="4" customFormat="1" ht="15.5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s="4" customFormat="1" ht="15.5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s="4" customFormat="1" ht="15.5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s="4" customFormat="1" ht="15.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s="4" customFormat="1" ht="15.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s="4" customFormat="1" ht="15.5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s="4" customFormat="1" ht="15.5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s="4" customFormat="1" ht="15.5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s="4" customFormat="1" ht="15.5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s="4" customFormat="1" ht="15.5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 s="4" customFormat="1" ht="15.5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s="4" customFormat="1" ht="15.5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 s="4" customFormat="1" ht="15.5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s="4" customFormat="1" ht="15.5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s="4" customFormat="1" ht="15.5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s="4" customFormat="1" ht="15.5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 s="4" customFormat="1" ht="15.5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s="4" customFormat="1" ht="15.5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 s="4" customFormat="1" ht="15.5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s="4" customFormat="1" ht="15.5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s="4" customFormat="1" ht="15.5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s="4" customFormat="1" ht="15.5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s="4" customFormat="1" ht="15.5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s="4" customFormat="1" ht="15.5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s="4" customFormat="1" ht="15.5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s="4" customFormat="1" ht="15.5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s="4" customFormat="1" ht="15.5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s="4" customFormat="1" ht="15.5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s="4" customFormat="1" ht="15.5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 s="4" customFormat="1" ht="15.5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s="4" customFormat="1" ht="15.5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s="4" customFormat="1" ht="15.5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 s="4" customFormat="1" ht="15.5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s="4" customFormat="1" ht="15.5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s="4" customFormat="1" ht="15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s="4" customFormat="1" ht="15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s="4" customFormat="1" ht="15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 s="4" customFormat="1" ht="15.5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s="4" customFormat="1" ht="15.5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1:13" s="4" customFormat="1" ht="15.5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1:13" s="4" customFormat="1" ht="15.5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 s="4" customFormat="1" ht="15.5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 s="4" customFormat="1" ht="15.5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s="4" customFormat="1" ht="15.5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 s="4" customFormat="1" ht="15.5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 s="4" customFormat="1" ht="15.5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 s="4" customFormat="1" ht="15.5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 s="4" customFormat="1" ht="15.5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1:13" s="4" customFormat="1" ht="15.5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s="4" customFormat="1" ht="15.5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 s="4" customFormat="1" ht="15.5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s="4" customFormat="1" ht="15.5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s="4" customFormat="1" ht="15.5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1:13" s="4" customFormat="1" ht="15.5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 s="4" customFormat="1" ht="15.5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s="4" customFormat="1" ht="15.5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1:13" s="4" customFormat="1" ht="15.5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s="4" customFormat="1" ht="15.5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s="4" customFormat="1" ht="15.5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1:13" s="4" customFormat="1" ht="15.5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1:13" s="4" customFormat="1" ht="15.5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1:13" s="4" customFormat="1" ht="15.5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 s="4" customFormat="1" ht="15.5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1:13" s="4" customFormat="1" ht="15.5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s="4" customFormat="1" ht="15.5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1:13" s="4" customFormat="1" ht="15.5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 s="4" customFormat="1" ht="15.5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1:13" s="4" customFormat="1" ht="15.5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 s="4" customFormat="1" ht="15.5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 s="4" customFormat="1" ht="15.5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 s="4" customFormat="1" ht="15.5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 s="4" customFormat="1" ht="15.5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 s="4" customFormat="1" ht="15.5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 s="4" customFormat="1" ht="15.5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 s="4" customFormat="1" ht="15.5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 s="4" customFormat="1" ht="15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1:13" s="4" customFormat="1" ht="15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1:13" s="4" customFormat="1" ht="15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1:13" s="4" customFormat="1" ht="15.5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1:13" s="4" customFormat="1" ht="15.5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1:13" s="4" customFormat="1" ht="15.5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 s="4" customFormat="1" ht="15.5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1:13" s="4" customFormat="1" ht="15.5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s="4" customFormat="1" ht="15.5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3" s="4" customFormat="1" ht="15.5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1:13" s="4" customFormat="1" ht="15.5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 s="4" customFormat="1" ht="15.5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 s="4" customFormat="1" ht="15.5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 s="4" customFormat="1" ht="15.5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 s="4" customFormat="1" ht="15.5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 s="4" customFormat="1" ht="15.5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1:13" s="4" customFormat="1" ht="15.5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1:13" s="4" customFormat="1" ht="15.5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1:13" s="4" customFormat="1" ht="15.5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 s="4" customFormat="1" ht="15.5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1:13" s="4" customFormat="1" ht="15.5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 s="4" customFormat="1" ht="15.5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 s="4" customFormat="1" ht="15.5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1:13" s="4" customFormat="1" ht="15.5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1:13" s="4" customFormat="1" ht="15.5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 s="4" customFormat="1" ht="15.5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1:13" s="4" customFormat="1" ht="15.5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 s="4" customFormat="1" ht="15.5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1:13" s="4" customFormat="1" ht="15.5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1:13" s="4" customFormat="1" ht="15.5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 s="4" customFormat="1" ht="15.5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 s="4" customFormat="1" ht="15.5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s="4" customFormat="1" ht="15.5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 s="4" customFormat="1" ht="15.5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1:13" s="4" customFormat="1" ht="15.5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 s="4" customFormat="1" ht="15.5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spans="1:13" s="4" customFormat="1" ht="15.5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spans="1:13" s="4" customFormat="1" ht="15.5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spans="1:13" s="4" customFormat="1" ht="15.5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1:13" s="4" customFormat="1" ht="15.5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1:13" s="4" customFormat="1" ht="15.5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1:13" s="4" customFormat="1" ht="15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1:13" s="4" customFormat="1" ht="15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1:13" s="4" customFormat="1" ht="15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spans="1:13" s="4" customFormat="1" ht="15.5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1:13" s="4" customFormat="1" ht="15.5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1:13" s="4" customFormat="1" ht="15.5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spans="1:13" s="4" customFormat="1" ht="15.5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spans="1:13" s="4" customFormat="1" ht="15.5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spans="1:13" s="4" customFormat="1" ht="15.5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spans="1:13" s="4" customFormat="1" ht="15.5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spans="1:13" s="4" customFormat="1" ht="15.5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spans="1:13" s="4" customFormat="1" ht="15.5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spans="1:13" s="4" customFormat="1" ht="15.5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spans="1:13" s="4" customFormat="1" ht="15.5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spans="1:13" s="4" customFormat="1" ht="15.5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spans="1:13" s="4" customFormat="1" ht="15.5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1:13" s="4" customFormat="1" ht="15.5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spans="1:13" s="4" customFormat="1" ht="15.5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1:13" s="4" customFormat="1" ht="15.5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spans="1:13" s="4" customFormat="1" ht="15.5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1:13" s="4" customFormat="1" ht="15.5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spans="1:13" s="4" customFormat="1" ht="15.5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1:13" s="4" customFormat="1" ht="15.5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spans="1:13" s="4" customFormat="1" ht="15.5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spans="1:13" s="4" customFormat="1" ht="15.5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spans="1:13" s="4" customFormat="1" ht="15.5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1:13" s="4" customFormat="1" ht="15.5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spans="1:13" s="4" customFormat="1" ht="15.5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1:13" s="4" customFormat="1" ht="15.5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spans="1:13" s="4" customFormat="1" ht="15.5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spans="1:13" s="4" customFormat="1" ht="15.5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spans="1:13" s="4" customFormat="1" ht="15.5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spans="1:13" s="4" customFormat="1" ht="15.5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spans="1:13" s="4" customFormat="1" ht="15.5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1:13" s="4" customFormat="1" ht="15.5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spans="1:13" s="4" customFormat="1" ht="15.5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spans="1:13" s="4" customFormat="1" ht="15.5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1:13" s="4" customFormat="1" ht="15.5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1:13" s="4" customFormat="1" ht="15.5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1:13" s="4" customFormat="1" ht="15.5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spans="1:13" s="4" customFormat="1" ht="15.5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spans="1:13" s="4" customFormat="1" ht="15.5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  <row r="204" spans="1:13" s="4" customFormat="1" ht="15.5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</row>
    <row r="205" spans="1:13" s="4" customFormat="1" ht="15.5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</row>
    <row r="206" spans="1:13" s="4" customFormat="1" ht="15.5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1:13" s="4" customFormat="1" ht="15.5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spans="1:13" s="4" customFormat="1" ht="15.5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1:13" s="4" customFormat="1" ht="15.5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</row>
    <row r="210" spans="1:13" s="4" customFormat="1" ht="15.5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</row>
    <row r="211" spans="1:13" s="4" customFormat="1" ht="15.5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</row>
    <row r="212" spans="1:13" s="4" customFormat="1" ht="15.5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spans="1:13" s="4" customFormat="1" ht="15.5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</row>
    <row r="214" spans="1:13" s="4" customFormat="1" ht="15.5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spans="1:13" s="4" customFormat="1" ht="15.5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spans="1:13" s="4" customFormat="1" ht="15.5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spans="1:13" s="4" customFormat="1" ht="15.5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spans="1:13" s="4" customFormat="1" ht="15.5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spans="1:13" s="4" customFormat="1" ht="15.5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spans="1:13" s="4" customFormat="1" ht="15.5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spans="1:13" s="4" customFormat="1" ht="15.5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spans="1:13" s="4" customFormat="1" ht="15.5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spans="1:13" s="4" customFormat="1" ht="15.5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spans="1:13" s="4" customFormat="1" ht="15.5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5" spans="1:13" s="4" customFormat="1" ht="15.5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spans="1:13" s="4" customFormat="1" ht="15.5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27" spans="1:13" s="4" customFormat="1" ht="15.5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spans="1:13" s="4" customFormat="1" ht="15.5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spans="1:13" s="4" customFormat="1" ht="15.5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spans="1:13" s="4" customFormat="1" ht="15.5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</row>
    <row r="231" spans="1:13" s="4" customFormat="1" ht="15.5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</row>
    <row r="232" spans="1:13" s="4" customFormat="1" ht="15.5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</row>
    <row r="233" spans="1:13" s="4" customFormat="1" ht="15.5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</row>
    <row r="234" spans="1:13" s="4" customFormat="1" ht="15.5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spans="1:13" s="4" customFormat="1" ht="15.5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</row>
    <row r="236" spans="1:13" s="4" customFormat="1" ht="15.5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spans="1:13" s="4" customFormat="1" ht="15.5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</row>
    <row r="238" spans="1:13" s="4" customFormat="1" ht="15.5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spans="1:13" s="4" customFormat="1" ht="15.5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</row>
    <row r="240" spans="1:13" s="4" customFormat="1" ht="15.5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spans="1:13" s="4" customFormat="1" ht="15.5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</row>
    <row r="242" spans="1:13" s="4" customFormat="1" ht="15.5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3" spans="1:13" s="4" customFormat="1" ht="15.5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</row>
    <row r="244" spans="1:13" s="4" customFormat="1" ht="15.5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1:13" s="4" customFormat="1" ht="15.5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spans="1:13" s="4" customFormat="1" ht="15.5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spans="1:13" s="4" customFormat="1" ht="15.5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spans="1:13" s="4" customFormat="1" ht="15.5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spans="1:13" s="4" customFormat="1" ht="15.5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spans="1:13" s="4" customFormat="1" ht="15.5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</row>
    <row r="251" spans="1:13" s="4" customFormat="1" ht="15.5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spans="1:13" s="4" customFormat="1" ht="15.5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spans="1:13" s="4" customFormat="1" ht="15.5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</row>
    <row r="254" spans="1:13" s="4" customFormat="1" ht="15.5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spans="1:13" s="4" customFormat="1" ht="15.5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</row>
    <row r="256" spans="1:13" s="4" customFormat="1" ht="15.5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</row>
    <row r="257" spans="1:13" s="4" customFormat="1" ht="15.5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spans="1:13" s="4" customFormat="1" ht="15.5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</row>
    <row r="259" spans="1:13" s="4" customFormat="1" ht="15.5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spans="1:13" s="4" customFormat="1" ht="15.5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spans="1:13" s="4" customFormat="1" ht="15.5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spans="1:13" s="4" customFormat="1" ht="15.5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spans="1:13" s="4" customFormat="1" ht="15.5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spans="1:13" s="4" customFormat="1" ht="15.5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spans="1:13" s="4" customFormat="1" ht="15.5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spans="1:13" s="4" customFormat="1" ht="15.5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spans="1:13" s="4" customFormat="1" ht="15.5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</row>
    <row r="268" spans="1:13" s="4" customFormat="1" ht="15.5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spans="1:13" s="4" customFormat="1" ht="15.5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</row>
    <row r="270" spans="1:13" s="4" customFormat="1" ht="15.5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</row>
    <row r="271" spans="1:13" s="4" customFormat="1" ht="15.5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</row>
    <row r="272" spans="1:13" s="4" customFormat="1" ht="15.5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spans="1:13" s="4" customFormat="1" ht="15.5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spans="1:13" s="4" customFormat="1" ht="15.5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</row>
    <row r="275" spans="1:13" s="4" customFormat="1" ht="15.5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</row>
    <row r="276" spans="1:13" s="4" customFormat="1" ht="15.5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spans="1:13" s="4" customFormat="1" ht="15.5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 spans="1:13" s="4" customFormat="1" ht="15.5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 spans="1:13" s="4" customFormat="1" ht="15.5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 spans="1:13" s="4" customFormat="1" ht="15.5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spans="1:13" s="4" customFormat="1" ht="15.5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 spans="1:13" s="4" customFormat="1" ht="15.5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spans="1:13" s="4" customFormat="1" ht="15.5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spans="1:13" s="4" customFormat="1" ht="15.5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spans="1:13" s="4" customFormat="1" ht="15.5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spans="1:13" s="4" customFormat="1" ht="15.5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 spans="1:13" s="4" customFormat="1" ht="15.5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 spans="1:13" s="4" customFormat="1" ht="15.5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 spans="1:13" s="4" customFormat="1" ht="15.5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spans="1:13" s="4" customFormat="1" ht="15.5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 spans="1:13" s="4" customFormat="1" ht="15.5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 spans="1:13" s="4" customFormat="1" ht="15.5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 spans="1:13" s="4" customFormat="1" ht="15.5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spans="1:13" s="4" customFormat="1" ht="15.5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 spans="1:13" s="4" customFormat="1" ht="15.5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spans="1:13" s="4" customFormat="1" ht="15.5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 spans="1:13" s="4" customFormat="1" ht="15.5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spans="1:13" s="4" customFormat="1" ht="15.5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 spans="1:13" s="4" customFormat="1" ht="15.5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 spans="1:13" s="4" customFormat="1" ht="15.5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 spans="1:13" s="4" customFormat="1" ht="15.5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spans="1:13" s="4" customFormat="1" ht="15.5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spans="1:13" s="4" customFormat="1" ht="15.5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spans="1:13" s="4" customFormat="1" ht="15.5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 spans="1:13" s="4" customFormat="1" ht="15.5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 spans="1:13" s="4" customFormat="1" ht="15.5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 spans="1:13" s="4" customFormat="1" ht="15.5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 spans="1:13" s="4" customFormat="1" ht="15.5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 spans="1:13" s="4" customFormat="1" ht="15.5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spans="1:13" s="4" customFormat="1" ht="15.5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 spans="1:13" s="4" customFormat="1" ht="15.5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 spans="1:13" s="4" customFormat="1" ht="15.5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 spans="1:13" s="4" customFormat="1" ht="15.5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 spans="1:13" s="4" customFormat="1" ht="15.5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spans="1:13" s="4" customFormat="1" ht="15.5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 spans="1:13" s="4" customFormat="1" ht="15.5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 spans="1:13" s="4" customFormat="1" ht="15.5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 spans="1:13" s="4" customFormat="1" ht="15.5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 spans="1:13" s="4" customFormat="1" ht="15.5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 spans="1:13" s="4" customFormat="1" ht="15.5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spans="1:13" s="4" customFormat="1" ht="15.5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spans="1:13" s="4" customFormat="1" ht="15.5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spans="1:13" s="4" customFormat="1" ht="15.5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 spans="1:13" s="4" customFormat="1" ht="15.5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 spans="1:13" s="4" customFormat="1" ht="15.5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spans="1:13" s="4" customFormat="1" ht="15.5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 spans="1:13" s="4" customFormat="1" ht="15.5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 spans="1:13" s="4" customFormat="1" ht="15.5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spans="1:13" s="4" customFormat="1" ht="15.5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 spans="1:13" s="4" customFormat="1" ht="15.5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 spans="1:13" s="4" customFormat="1" ht="15.5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 spans="1:13" s="4" customFormat="1" ht="15.5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spans="1:13" s="4" customFormat="1" ht="15.5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 spans="1:13" s="4" customFormat="1" ht="15.5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spans="1:13" s="4" customFormat="1" ht="15.5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 spans="1:13" s="4" customFormat="1" ht="15.5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spans="1:13" s="4" customFormat="1" ht="15.5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 spans="1:13" s="4" customFormat="1" ht="15.5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 spans="1:13" s="4" customFormat="1" ht="15.5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spans="1:13" s="4" customFormat="1" ht="15.5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spans="1:13" s="4" customFormat="1" ht="15.5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spans="1:13" s="4" customFormat="1" ht="15.5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spans="1:13" s="4" customFormat="1" ht="15.5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 spans="1:13" s="4" customFormat="1" ht="15.5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 spans="1:13" s="4" customFormat="1" ht="15.5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spans="1:13" s="4" customFormat="1" ht="15.5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 spans="1:13" s="4" customFormat="1" ht="15.5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 spans="1:13" s="4" customFormat="1" ht="15.5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 spans="1:13" s="4" customFormat="1" ht="15.5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 spans="1:13" s="4" customFormat="1" ht="15.5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spans="1:13" s="4" customFormat="1" ht="15.5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 spans="1:13" s="4" customFormat="1" ht="15.5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 spans="1:13" s="4" customFormat="1" ht="15.5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 spans="1:13" s="4" customFormat="1" ht="15.5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 spans="1:13" s="4" customFormat="1" ht="15.5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 spans="1:13" s="4" customFormat="1" ht="15.5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 spans="1:13" s="4" customFormat="1" ht="15.5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 spans="1:13" s="4" customFormat="1" ht="15.5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spans="1:13" s="4" customFormat="1" ht="15.5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spans="1:13" s="4" customFormat="1" ht="15.5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spans="1:13" s="4" customFormat="1" ht="15.5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 spans="1:13" s="4" customFormat="1" ht="15.5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spans="1:13" s="4" customFormat="1" ht="15.5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 spans="1:13" s="4" customFormat="1" ht="15.5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 spans="1:13" s="4" customFormat="1" ht="15.5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 spans="1:13" s="4" customFormat="1" ht="15.5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 spans="1:13" s="4" customFormat="1" ht="15.5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 spans="1:13" s="4" customFormat="1" ht="15.5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 spans="1:13" s="4" customFormat="1" ht="15.5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 spans="1:13" s="4" customFormat="1" ht="15.5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spans="1:13" s="4" customFormat="1" ht="15.5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 spans="1:13" s="4" customFormat="1" ht="15.5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 spans="1:13" s="4" customFormat="1" ht="15.5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spans="1:13" s="4" customFormat="1" ht="15.5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spans="1:13" s="4" customFormat="1" ht="15.5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spans="1:13" s="4" customFormat="1" ht="15.5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 spans="1:13" s="4" customFormat="1" ht="15.5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spans="1:13" s="4" customFormat="1" ht="15.5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 spans="1:13" s="4" customFormat="1" ht="15.5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 spans="1:13" s="4" customFormat="1" ht="15.5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 spans="1:13" s="4" customFormat="1" ht="15.5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 spans="1:13" s="4" customFormat="1" ht="15.5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 spans="1:13" s="4" customFormat="1" ht="15.5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spans="1:13" s="4" customFormat="1" ht="15.5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 spans="1:13" s="4" customFormat="1" ht="15.5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 spans="1:13" s="4" customFormat="1" ht="15.5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</sheetData>
  <mergeCells count="21">
    <mergeCell ref="A23:B23"/>
    <mergeCell ref="A24:B24"/>
    <mergeCell ref="A25:B25"/>
    <mergeCell ref="A17:E18"/>
    <mergeCell ref="G17:I17"/>
    <mergeCell ref="A19:B19"/>
    <mergeCell ref="A20:B20"/>
    <mergeCell ref="A21:B21"/>
    <mergeCell ref="A22:B22"/>
    <mergeCell ref="H15:I15"/>
    <mergeCell ref="A1:K3"/>
    <mergeCell ref="A7:D7"/>
    <mergeCell ref="E7:G7"/>
    <mergeCell ref="J7:K7"/>
    <mergeCell ref="H9:I9"/>
    <mergeCell ref="J9:K9"/>
    <mergeCell ref="A11:C11"/>
    <mergeCell ref="D11:G11"/>
    <mergeCell ref="J11:K11"/>
    <mergeCell ref="D13:E13"/>
    <mergeCell ref="H13:I13"/>
  </mergeCells>
  <dataValidations count="2">
    <dataValidation type="list" allowBlank="1" showInputMessage="1" showErrorMessage="1" sqref="E7" xr:uid="{72759142-D17F-49AA-B905-E0F34A37FC37}">
      <formula1>secteur</formula1>
    </dataValidation>
    <dataValidation type="list" allowBlank="1" showInputMessage="1" showErrorMessage="1" sqref="J7:K7" xr:uid="{FDBF1A23-F865-4026-81F5-BEF3C1326CFF}">
      <formula1>mois_bon2</formula1>
    </dataValidation>
  </dataValidations>
  <pageMargins left="0.7" right="0.7" top="0.75" bottom="0.75" header="0.3" footer="0.3"/>
  <pageSetup paperSize="9" scale="65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C3006-9B44-4777-B644-AC22E539AD30}">
  <sheetPr>
    <tabColor rgb="FF7030A0"/>
  </sheetPr>
  <dimension ref="A1:M386"/>
  <sheetViews>
    <sheetView showGridLines="0" workbookViewId="0">
      <selection activeCell="G15" sqref="G15"/>
    </sheetView>
  </sheetViews>
  <sheetFormatPr baseColWidth="10" defaultRowHeight="17.5" x14ac:dyDescent="0.35"/>
  <cols>
    <col min="1" max="1" width="10.90625" style="8"/>
    <col min="2" max="2" width="11.81640625" style="8" customWidth="1"/>
    <col min="3" max="3" width="14.1796875" style="8" customWidth="1"/>
    <col min="4" max="5" width="10.90625" style="8"/>
    <col min="6" max="6" width="3.54296875" style="8" customWidth="1"/>
    <col min="7" max="8" width="10.90625" style="8"/>
    <col min="9" max="9" width="14.453125" style="8" customWidth="1"/>
    <col min="10" max="10" width="10.90625" style="8"/>
    <col min="11" max="11" width="15.26953125" style="8" bestFit="1" customWidth="1"/>
    <col min="12" max="13" width="10.90625" style="8"/>
  </cols>
  <sheetData>
    <row r="1" spans="1:13" ht="7.5" customHeight="1" x14ac:dyDescent="0.35">
      <c r="A1" s="269" t="s">
        <v>50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</row>
    <row r="2" spans="1:13" ht="13.5" customHeight="1" x14ac:dyDescent="0.35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</row>
    <row r="3" spans="1:13" ht="15" hidden="1" customHeight="1" x14ac:dyDescent="0.35">
      <c r="A3" s="269"/>
      <c r="B3" s="269"/>
      <c r="C3" s="269"/>
      <c r="D3" s="269"/>
      <c r="E3" s="269"/>
      <c r="F3" s="269"/>
      <c r="G3" s="269"/>
      <c r="H3" s="269"/>
      <c r="I3" s="269"/>
      <c r="J3" s="269"/>
      <c r="K3" s="269"/>
    </row>
    <row r="4" spans="1:13" ht="5.25" customHeight="1" x14ac:dyDescent="0.35"/>
    <row r="5" spans="1:13" ht="13.5" customHeight="1" x14ac:dyDescent="0.35">
      <c r="A5" s="34" t="s">
        <v>52</v>
      </c>
    </row>
    <row r="6" spans="1:13" ht="5.25" customHeight="1" thickBot="1" x14ac:dyDescent="0.4">
      <c r="A6" s="34"/>
    </row>
    <row r="7" spans="1:13" s="23" customFormat="1" ht="16.5" thickTop="1" thickBot="1" x14ac:dyDescent="0.4">
      <c r="A7" s="270" t="s">
        <v>44</v>
      </c>
      <c r="B7" s="270"/>
      <c r="C7" s="270"/>
      <c r="D7" s="270"/>
      <c r="E7" s="271" t="s">
        <v>28</v>
      </c>
      <c r="F7" s="272"/>
      <c r="G7" s="273"/>
      <c r="I7" s="36" t="s">
        <v>46</v>
      </c>
      <c r="J7" s="274" t="s">
        <v>248</v>
      </c>
      <c r="K7" s="275"/>
      <c r="M7" s="28"/>
    </row>
    <row r="8" spans="1:13" ht="5.25" customHeight="1" thickTop="1" thickBot="1" x14ac:dyDescent="0.4"/>
    <row r="9" spans="1:13" ht="18.5" thickTop="1" thickBot="1" x14ac:dyDescent="0.4">
      <c r="H9" s="267" t="s">
        <v>53</v>
      </c>
      <c r="I9" s="268"/>
      <c r="J9" s="276">
        <v>46063</v>
      </c>
      <c r="K9" s="277"/>
    </row>
    <row r="10" spans="1:13" ht="18.5" thickTop="1" thickBot="1" x14ac:dyDescent="0.4">
      <c r="J10" s="45"/>
      <c r="K10" s="37"/>
    </row>
    <row r="11" spans="1:13" s="3" customFormat="1" ht="16.5" thickTop="1" thickBot="1" x14ac:dyDescent="0.4">
      <c r="A11" s="270" t="s">
        <v>45</v>
      </c>
      <c r="B11" s="270"/>
      <c r="C11" s="270"/>
      <c r="D11" s="271" t="s">
        <v>245</v>
      </c>
      <c r="E11" s="272"/>
      <c r="F11" s="272"/>
      <c r="G11" s="273"/>
      <c r="H11" s="23"/>
      <c r="I11" s="31" t="s">
        <v>47</v>
      </c>
      <c r="J11" s="271"/>
      <c r="K11" s="273"/>
      <c r="L11" s="23"/>
      <c r="M11" s="23"/>
    </row>
    <row r="12" spans="1:13" s="4" customFormat="1" ht="16.5" thickTop="1" thickBot="1" x14ac:dyDescent="0.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s="25" customFormat="1" ht="16.5" thickTop="1" thickBot="1" x14ac:dyDescent="0.4">
      <c r="A13" s="52" t="s">
        <v>76</v>
      </c>
      <c r="B13" s="46"/>
      <c r="C13" s="35">
        <v>1000000</v>
      </c>
      <c r="D13" s="267" t="s">
        <v>49</v>
      </c>
      <c r="E13" s="267"/>
      <c r="F13" s="32">
        <v>3</v>
      </c>
      <c r="G13" s="30" t="s">
        <v>48</v>
      </c>
      <c r="H13" s="278" t="s">
        <v>57</v>
      </c>
      <c r="I13" s="279"/>
      <c r="J13" s="33">
        <f>IF(C13&lt;1000000,F13*1.5%,F13%)</f>
        <v>0.03</v>
      </c>
      <c r="K13" s="24"/>
      <c r="L13" s="24"/>
      <c r="M13" s="24"/>
    </row>
    <row r="14" spans="1:13" s="4" customFormat="1" ht="16.5" thickTop="1" thickBot="1" x14ac:dyDescent="0.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s="3" customFormat="1" ht="16.5" thickTop="1" thickBot="1" x14ac:dyDescent="0.4">
      <c r="A15" s="23"/>
      <c r="B15" s="23"/>
      <c r="C15" s="23"/>
      <c r="D15" s="23"/>
      <c r="E15" s="23"/>
      <c r="F15" s="23"/>
      <c r="G15" s="23"/>
      <c r="H15" s="267" t="s">
        <v>26</v>
      </c>
      <c r="I15" s="268"/>
      <c r="J15" s="27">
        <f>C13*J13</f>
        <v>30000</v>
      </c>
      <c r="K15" s="23"/>
      <c r="L15" s="23"/>
      <c r="M15" s="23"/>
    </row>
    <row r="16" spans="1:13" s="4" customFormat="1" ht="16.5" thickTop="1" thickBot="1" x14ac:dyDescent="0.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s="4" customFormat="1" ht="18.75" customHeight="1" thickTop="1" thickBot="1" x14ac:dyDescent="0.4">
      <c r="A17" s="280" t="s">
        <v>51</v>
      </c>
      <c r="B17" s="280"/>
      <c r="C17" s="280"/>
      <c r="D17" s="280"/>
      <c r="E17" s="280"/>
      <c r="F17" s="15"/>
      <c r="G17" s="282" t="s">
        <v>73</v>
      </c>
      <c r="H17" s="282"/>
      <c r="I17" s="283"/>
      <c r="J17" s="51">
        <f>C13+J15</f>
        <v>1030000</v>
      </c>
      <c r="K17" s="15"/>
      <c r="L17" s="15"/>
      <c r="M17" s="15"/>
    </row>
    <row r="18" spans="1:13" s="4" customFormat="1" ht="13.5" customHeight="1" thickTop="1" thickBot="1" x14ac:dyDescent="0.4">
      <c r="A18" s="281"/>
      <c r="B18" s="281"/>
      <c r="C18" s="281"/>
      <c r="D18" s="281"/>
      <c r="E18" s="281"/>
      <c r="F18" s="15"/>
      <c r="G18" s="15"/>
      <c r="H18" s="15"/>
      <c r="I18" s="15"/>
      <c r="J18" s="15"/>
      <c r="K18" s="15"/>
      <c r="L18" s="15"/>
      <c r="M18" s="15"/>
    </row>
    <row r="19" spans="1:13" s="4" customFormat="1" ht="42.75" customHeight="1" thickTop="1" thickBot="1" x14ac:dyDescent="0.45">
      <c r="A19" s="284" t="s">
        <v>196</v>
      </c>
      <c r="B19" s="285"/>
      <c r="C19" s="38" t="s">
        <v>54</v>
      </c>
      <c r="D19" s="39" t="s">
        <v>55</v>
      </c>
      <c r="E19" s="40" t="s">
        <v>56</v>
      </c>
      <c r="F19" s="15"/>
      <c r="G19" s="26"/>
      <c r="H19" s="15"/>
      <c r="I19" s="15"/>
      <c r="J19" s="15"/>
      <c r="K19" s="15"/>
      <c r="L19" s="15"/>
      <c r="M19" s="15"/>
    </row>
    <row r="20" spans="1:13" s="4" customFormat="1" ht="16" thickBot="1" x14ac:dyDescent="0.4">
      <c r="A20" s="286">
        <v>45931</v>
      </c>
      <c r="B20" s="287"/>
      <c r="C20" s="41"/>
      <c r="D20" s="44"/>
      <c r="E20" s="43">
        <f t="shared" ref="E20:E24" si="0">C20-D20</f>
        <v>0</v>
      </c>
      <c r="F20" s="15"/>
      <c r="G20" s="15"/>
      <c r="H20" s="15"/>
      <c r="I20" s="15"/>
      <c r="J20" s="15"/>
      <c r="K20" s="15"/>
      <c r="L20" s="15"/>
      <c r="M20" s="15"/>
    </row>
    <row r="21" spans="1:13" s="4" customFormat="1" ht="16" thickBot="1" x14ac:dyDescent="0.4">
      <c r="A21" s="286">
        <v>45962</v>
      </c>
      <c r="B21" s="287"/>
      <c r="C21" s="41"/>
      <c r="D21" s="44"/>
      <c r="E21" s="43">
        <f t="shared" si="0"/>
        <v>0</v>
      </c>
      <c r="F21" s="15"/>
      <c r="G21" s="15"/>
      <c r="H21" s="15"/>
      <c r="I21" s="15"/>
      <c r="J21" s="15"/>
      <c r="K21" s="15"/>
      <c r="L21" s="15"/>
      <c r="M21" s="15"/>
    </row>
    <row r="22" spans="1:13" s="4" customFormat="1" ht="16" thickBot="1" x14ac:dyDescent="0.4">
      <c r="A22" s="286">
        <v>45992</v>
      </c>
      <c r="B22" s="287"/>
      <c r="C22" s="41">
        <f t="shared" ref="C22:C24" si="1">J$17/F$13</f>
        <v>343333.33333333331</v>
      </c>
      <c r="D22" s="44"/>
      <c r="E22" s="43">
        <f t="shared" si="0"/>
        <v>343333.33333333331</v>
      </c>
      <c r="F22" s="15"/>
      <c r="G22" s="15"/>
      <c r="H22" s="15"/>
      <c r="I22" s="15"/>
      <c r="J22" s="15"/>
      <c r="K22" s="15"/>
      <c r="L22" s="15"/>
      <c r="M22" s="15"/>
    </row>
    <row r="23" spans="1:13" s="4" customFormat="1" ht="16" thickBot="1" x14ac:dyDescent="0.4">
      <c r="A23" s="286">
        <v>46023</v>
      </c>
      <c r="B23" s="287"/>
      <c r="C23" s="41">
        <f t="shared" si="1"/>
        <v>343333.33333333331</v>
      </c>
      <c r="D23" s="44"/>
      <c r="E23" s="43">
        <f t="shared" si="0"/>
        <v>343333.33333333331</v>
      </c>
      <c r="F23" s="15"/>
      <c r="G23" s="15"/>
      <c r="H23" s="15"/>
      <c r="I23" s="15"/>
      <c r="J23" s="15"/>
      <c r="K23" s="15"/>
      <c r="L23" s="15"/>
      <c r="M23" s="15"/>
    </row>
    <row r="24" spans="1:13" s="4" customFormat="1" ht="16" thickBot="1" x14ac:dyDescent="0.4">
      <c r="A24" s="286">
        <v>46054</v>
      </c>
      <c r="B24" s="287"/>
      <c r="C24" s="41">
        <f t="shared" si="1"/>
        <v>343333.33333333331</v>
      </c>
      <c r="D24" s="44"/>
      <c r="E24" s="43">
        <f t="shared" si="0"/>
        <v>343333.33333333331</v>
      </c>
      <c r="F24" s="15"/>
      <c r="G24" s="15"/>
      <c r="H24" s="15"/>
      <c r="I24" s="15"/>
      <c r="J24" s="15"/>
      <c r="K24" s="15"/>
      <c r="L24" s="15"/>
      <c r="M24" s="15"/>
    </row>
    <row r="25" spans="1:13" s="3" customFormat="1" ht="20.25" customHeight="1" thickBot="1" x14ac:dyDescent="0.4">
      <c r="A25" s="288" t="s">
        <v>43</v>
      </c>
      <c r="B25" s="289"/>
      <c r="C25" s="29">
        <f>SUM(C20:C24)</f>
        <v>1030000</v>
      </c>
      <c r="D25" s="29">
        <f>SUM(D20:D24)</f>
        <v>0</v>
      </c>
      <c r="E25" s="29">
        <f>SUM(E20:E24)</f>
        <v>1030000</v>
      </c>
      <c r="F25" s="23"/>
      <c r="G25" s="23"/>
      <c r="H25" s="23"/>
      <c r="I25" s="23"/>
      <c r="J25" s="23"/>
      <c r="K25" s="23"/>
      <c r="L25" s="23"/>
      <c r="M25" s="23"/>
    </row>
    <row r="26" spans="1:13" s="4" customFormat="1" ht="16" thickTop="1" x14ac:dyDescent="0.3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spans="1:13" s="4" customFormat="1" ht="15.5" x14ac:dyDescent="0.3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</row>
    <row r="28" spans="1:13" s="4" customFormat="1" ht="15.5" x14ac:dyDescent="0.3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1:13" s="4" customFormat="1" ht="15.5" x14ac:dyDescent="0.3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</row>
    <row r="30" spans="1:13" s="4" customFormat="1" ht="15.5" x14ac:dyDescent="0.3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</row>
    <row r="31" spans="1:13" s="4" customFormat="1" ht="15.5" x14ac:dyDescent="0.3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1:13" s="4" customFormat="1" ht="15.5" x14ac:dyDescent="0.3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1:13" s="4" customFormat="1" ht="15.5" x14ac:dyDescent="0.3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13" s="4" customFormat="1" ht="15.5" x14ac:dyDescent="0.3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1:13" s="4" customFormat="1" ht="15.5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 s="4" customFormat="1" ht="15.5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s="4" customFormat="1" ht="15.5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s="4" customFormat="1" ht="15.5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s="4" customFormat="1" ht="15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s="4" customFormat="1" ht="15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s="4" customFormat="1" ht="15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s="4" customFormat="1" ht="15.5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 s="4" customFormat="1" ht="15.5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s="4" customFormat="1" ht="15.5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s="4" customFormat="1" ht="15.5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s="4" customFormat="1" ht="15.5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s="4" customFormat="1" ht="15.5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s="4" customFormat="1" ht="15.5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s="4" customFormat="1" ht="15.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s="4" customFormat="1" ht="15.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s="4" customFormat="1" ht="15.5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s="4" customFormat="1" ht="15.5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s="4" customFormat="1" ht="15.5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s="4" customFormat="1" ht="15.5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s="4" customFormat="1" ht="15.5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 s="4" customFormat="1" ht="15.5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s="4" customFormat="1" ht="15.5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 s="4" customFormat="1" ht="15.5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s="4" customFormat="1" ht="15.5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s="4" customFormat="1" ht="15.5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s="4" customFormat="1" ht="15.5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 s="4" customFormat="1" ht="15.5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s="4" customFormat="1" ht="15.5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 s="4" customFormat="1" ht="15.5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s="4" customFormat="1" ht="15.5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s="4" customFormat="1" ht="15.5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s="4" customFormat="1" ht="15.5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s="4" customFormat="1" ht="15.5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s="4" customFormat="1" ht="15.5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s="4" customFormat="1" ht="15.5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s="4" customFormat="1" ht="15.5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s="4" customFormat="1" ht="15.5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s="4" customFormat="1" ht="15.5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s="4" customFormat="1" ht="15.5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 s="4" customFormat="1" ht="15.5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s="4" customFormat="1" ht="15.5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s="4" customFormat="1" ht="15.5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 s="4" customFormat="1" ht="15.5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s="4" customFormat="1" ht="15.5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s="4" customFormat="1" ht="15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s="4" customFormat="1" ht="15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s="4" customFormat="1" ht="15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 s="4" customFormat="1" ht="15.5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s="4" customFormat="1" ht="15.5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1:13" s="4" customFormat="1" ht="15.5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1:13" s="4" customFormat="1" ht="15.5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 s="4" customFormat="1" ht="15.5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 s="4" customFormat="1" ht="15.5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s="4" customFormat="1" ht="15.5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 s="4" customFormat="1" ht="15.5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 s="4" customFormat="1" ht="15.5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 s="4" customFormat="1" ht="15.5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 s="4" customFormat="1" ht="15.5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1:13" s="4" customFormat="1" ht="15.5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s="4" customFormat="1" ht="15.5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 s="4" customFormat="1" ht="15.5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s="4" customFormat="1" ht="15.5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s="4" customFormat="1" ht="15.5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1:13" s="4" customFormat="1" ht="15.5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 s="4" customFormat="1" ht="15.5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s="4" customFormat="1" ht="15.5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1:13" s="4" customFormat="1" ht="15.5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s="4" customFormat="1" ht="15.5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s="4" customFormat="1" ht="15.5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1:13" s="4" customFormat="1" ht="15.5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1:13" s="4" customFormat="1" ht="15.5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1:13" s="4" customFormat="1" ht="15.5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 s="4" customFormat="1" ht="15.5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1:13" s="4" customFormat="1" ht="15.5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s="4" customFormat="1" ht="15.5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1:13" s="4" customFormat="1" ht="15.5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 s="4" customFormat="1" ht="15.5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1:13" s="4" customFormat="1" ht="15.5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 s="4" customFormat="1" ht="15.5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 s="4" customFormat="1" ht="15.5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 s="4" customFormat="1" ht="15.5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 s="4" customFormat="1" ht="15.5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 s="4" customFormat="1" ht="15.5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 s="4" customFormat="1" ht="15.5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 s="4" customFormat="1" ht="15.5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 s="4" customFormat="1" ht="15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1:13" s="4" customFormat="1" ht="15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1:13" s="4" customFormat="1" ht="15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1:13" s="4" customFormat="1" ht="15.5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1:13" s="4" customFormat="1" ht="15.5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1:13" s="4" customFormat="1" ht="15.5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 s="4" customFormat="1" ht="15.5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1:13" s="4" customFormat="1" ht="15.5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s="4" customFormat="1" ht="15.5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3" s="4" customFormat="1" ht="15.5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1:13" s="4" customFormat="1" ht="15.5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 s="4" customFormat="1" ht="15.5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 s="4" customFormat="1" ht="15.5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 s="4" customFormat="1" ht="15.5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 s="4" customFormat="1" ht="15.5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 s="4" customFormat="1" ht="15.5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1:13" s="4" customFormat="1" ht="15.5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1:13" s="4" customFormat="1" ht="15.5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1:13" s="4" customFormat="1" ht="15.5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 s="4" customFormat="1" ht="15.5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1:13" s="4" customFormat="1" ht="15.5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 s="4" customFormat="1" ht="15.5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 s="4" customFormat="1" ht="15.5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1:13" s="4" customFormat="1" ht="15.5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1:13" s="4" customFormat="1" ht="15.5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 s="4" customFormat="1" ht="15.5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1:13" s="4" customFormat="1" ht="15.5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 s="4" customFormat="1" ht="15.5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1:13" s="4" customFormat="1" ht="15.5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1:13" s="4" customFormat="1" ht="15.5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 s="4" customFormat="1" ht="15.5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 s="4" customFormat="1" ht="15.5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s="4" customFormat="1" ht="15.5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 s="4" customFormat="1" ht="15.5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1:13" s="4" customFormat="1" ht="15.5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 s="4" customFormat="1" ht="15.5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spans="1:13" s="4" customFormat="1" ht="15.5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spans="1:13" s="4" customFormat="1" ht="15.5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spans="1:13" s="4" customFormat="1" ht="15.5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1:13" s="4" customFormat="1" ht="15.5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1:13" s="4" customFormat="1" ht="15.5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1:13" s="4" customFormat="1" ht="15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1:13" s="4" customFormat="1" ht="15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1:13" s="4" customFormat="1" ht="15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spans="1:13" s="4" customFormat="1" ht="15.5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1:13" s="4" customFormat="1" ht="15.5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1:13" s="4" customFormat="1" ht="15.5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spans="1:13" s="4" customFormat="1" ht="15.5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spans="1:13" s="4" customFormat="1" ht="15.5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spans="1:13" s="4" customFormat="1" ht="15.5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spans="1:13" s="4" customFormat="1" ht="15.5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spans="1:13" s="4" customFormat="1" ht="15.5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spans="1:13" s="4" customFormat="1" ht="15.5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spans="1:13" s="4" customFormat="1" ht="15.5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spans="1:13" s="4" customFormat="1" ht="15.5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spans="1:13" s="4" customFormat="1" ht="15.5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spans="1:13" s="4" customFormat="1" ht="15.5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1:13" s="4" customFormat="1" ht="15.5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spans="1:13" s="4" customFormat="1" ht="15.5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1:13" s="4" customFormat="1" ht="15.5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spans="1:13" s="4" customFormat="1" ht="15.5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1:13" s="4" customFormat="1" ht="15.5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spans="1:13" s="4" customFormat="1" ht="15.5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1:13" s="4" customFormat="1" ht="15.5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spans="1:13" s="4" customFormat="1" ht="15.5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spans="1:13" s="4" customFormat="1" ht="15.5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spans="1:13" s="4" customFormat="1" ht="15.5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1:13" s="4" customFormat="1" ht="15.5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spans="1:13" s="4" customFormat="1" ht="15.5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1:13" s="4" customFormat="1" ht="15.5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spans="1:13" s="4" customFormat="1" ht="15.5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spans="1:13" s="4" customFormat="1" ht="15.5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spans="1:13" s="4" customFormat="1" ht="15.5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spans="1:13" s="4" customFormat="1" ht="15.5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spans="1:13" s="4" customFormat="1" ht="15.5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1:13" s="4" customFormat="1" ht="15.5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spans="1:13" s="4" customFormat="1" ht="15.5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spans="1:13" s="4" customFormat="1" ht="15.5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1:13" s="4" customFormat="1" ht="15.5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1:13" s="4" customFormat="1" ht="15.5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1:13" s="4" customFormat="1" ht="15.5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spans="1:13" s="4" customFormat="1" ht="15.5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spans="1:13" s="4" customFormat="1" ht="15.5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  <row r="204" spans="1:13" s="4" customFormat="1" ht="15.5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</row>
    <row r="205" spans="1:13" s="4" customFormat="1" ht="15.5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</row>
    <row r="206" spans="1:13" s="4" customFormat="1" ht="15.5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1:13" s="4" customFormat="1" ht="15.5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spans="1:13" s="4" customFormat="1" ht="15.5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1:13" s="4" customFormat="1" ht="15.5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</row>
    <row r="210" spans="1:13" s="4" customFormat="1" ht="15.5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</row>
    <row r="211" spans="1:13" s="4" customFormat="1" ht="15.5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</row>
    <row r="212" spans="1:13" s="4" customFormat="1" ht="15.5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spans="1:13" s="4" customFormat="1" ht="15.5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</row>
    <row r="214" spans="1:13" s="4" customFormat="1" ht="15.5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spans="1:13" s="4" customFormat="1" ht="15.5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spans="1:13" s="4" customFormat="1" ht="15.5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spans="1:13" s="4" customFormat="1" ht="15.5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spans="1:13" s="4" customFormat="1" ht="15.5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spans="1:13" s="4" customFormat="1" ht="15.5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spans="1:13" s="4" customFormat="1" ht="15.5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spans="1:13" s="4" customFormat="1" ht="15.5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spans="1:13" s="4" customFormat="1" ht="15.5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spans="1:13" s="4" customFormat="1" ht="15.5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spans="1:13" s="4" customFormat="1" ht="15.5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5" spans="1:13" s="4" customFormat="1" ht="15.5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spans="1:13" s="4" customFormat="1" ht="15.5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27" spans="1:13" s="4" customFormat="1" ht="15.5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spans="1:13" s="4" customFormat="1" ht="15.5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spans="1:13" s="4" customFormat="1" ht="15.5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spans="1:13" s="4" customFormat="1" ht="15.5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</row>
    <row r="231" spans="1:13" s="4" customFormat="1" ht="15.5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</row>
    <row r="232" spans="1:13" s="4" customFormat="1" ht="15.5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</row>
    <row r="233" spans="1:13" s="4" customFormat="1" ht="15.5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</row>
    <row r="234" spans="1:13" s="4" customFormat="1" ht="15.5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spans="1:13" s="4" customFormat="1" ht="15.5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</row>
    <row r="236" spans="1:13" s="4" customFormat="1" ht="15.5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spans="1:13" s="4" customFormat="1" ht="15.5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</row>
    <row r="238" spans="1:13" s="4" customFormat="1" ht="15.5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spans="1:13" s="4" customFormat="1" ht="15.5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</row>
    <row r="240" spans="1:13" s="4" customFormat="1" ht="15.5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spans="1:13" s="4" customFormat="1" ht="15.5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</row>
    <row r="242" spans="1:13" s="4" customFormat="1" ht="15.5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3" spans="1:13" s="4" customFormat="1" ht="15.5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</row>
    <row r="244" spans="1:13" s="4" customFormat="1" ht="15.5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1:13" s="4" customFormat="1" ht="15.5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spans="1:13" s="4" customFormat="1" ht="15.5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spans="1:13" s="4" customFormat="1" ht="15.5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spans="1:13" s="4" customFormat="1" ht="15.5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spans="1:13" s="4" customFormat="1" ht="15.5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spans="1:13" s="4" customFormat="1" ht="15.5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</row>
    <row r="251" spans="1:13" s="4" customFormat="1" ht="15.5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spans="1:13" s="4" customFormat="1" ht="15.5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spans="1:13" s="4" customFormat="1" ht="15.5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</row>
    <row r="254" spans="1:13" s="4" customFormat="1" ht="15.5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spans="1:13" s="4" customFormat="1" ht="15.5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</row>
    <row r="256" spans="1:13" s="4" customFormat="1" ht="15.5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</row>
    <row r="257" spans="1:13" s="4" customFormat="1" ht="15.5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spans="1:13" s="4" customFormat="1" ht="15.5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</row>
    <row r="259" spans="1:13" s="4" customFormat="1" ht="15.5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spans="1:13" s="4" customFormat="1" ht="15.5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spans="1:13" s="4" customFormat="1" ht="15.5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spans="1:13" s="4" customFormat="1" ht="15.5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spans="1:13" s="4" customFormat="1" ht="15.5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spans="1:13" s="4" customFormat="1" ht="15.5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spans="1:13" s="4" customFormat="1" ht="15.5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spans="1:13" s="4" customFormat="1" ht="15.5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spans="1:13" s="4" customFormat="1" ht="15.5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</row>
    <row r="268" spans="1:13" s="4" customFormat="1" ht="15.5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spans="1:13" s="4" customFormat="1" ht="15.5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</row>
    <row r="270" spans="1:13" s="4" customFormat="1" ht="15.5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</row>
    <row r="271" spans="1:13" s="4" customFormat="1" ht="15.5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</row>
    <row r="272" spans="1:13" s="4" customFormat="1" ht="15.5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spans="1:13" s="4" customFormat="1" ht="15.5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spans="1:13" s="4" customFormat="1" ht="15.5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</row>
    <row r="275" spans="1:13" s="4" customFormat="1" ht="15.5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</row>
    <row r="276" spans="1:13" s="4" customFormat="1" ht="15.5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spans="1:13" s="4" customFormat="1" ht="15.5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 spans="1:13" s="4" customFormat="1" ht="15.5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 spans="1:13" s="4" customFormat="1" ht="15.5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 spans="1:13" s="4" customFormat="1" ht="15.5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spans="1:13" s="4" customFormat="1" ht="15.5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 spans="1:13" s="4" customFormat="1" ht="15.5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spans="1:13" s="4" customFormat="1" ht="15.5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spans="1:13" s="4" customFormat="1" ht="15.5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spans="1:13" s="4" customFormat="1" ht="15.5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spans="1:13" s="4" customFormat="1" ht="15.5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 spans="1:13" s="4" customFormat="1" ht="15.5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 spans="1:13" s="4" customFormat="1" ht="15.5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 spans="1:13" s="4" customFormat="1" ht="15.5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spans="1:13" s="4" customFormat="1" ht="15.5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 spans="1:13" s="4" customFormat="1" ht="15.5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 spans="1:13" s="4" customFormat="1" ht="15.5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 spans="1:13" s="4" customFormat="1" ht="15.5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spans="1:13" s="4" customFormat="1" ht="15.5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 spans="1:13" s="4" customFormat="1" ht="15.5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spans="1:13" s="4" customFormat="1" ht="15.5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 spans="1:13" s="4" customFormat="1" ht="15.5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spans="1:13" s="4" customFormat="1" ht="15.5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 spans="1:13" s="4" customFormat="1" ht="15.5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 spans="1:13" s="4" customFormat="1" ht="15.5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 spans="1:13" s="4" customFormat="1" ht="15.5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spans="1:13" s="4" customFormat="1" ht="15.5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spans="1:13" s="4" customFormat="1" ht="15.5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spans="1:13" s="4" customFormat="1" ht="15.5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 spans="1:13" s="4" customFormat="1" ht="15.5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 spans="1:13" s="4" customFormat="1" ht="15.5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 spans="1:13" s="4" customFormat="1" ht="15.5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 spans="1:13" s="4" customFormat="1" ht="15.5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 spans="1:13" s="4" customFormat="1" ht="15.5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spans="1:13" s="4" customFormat="1" ht="15.5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 spans="1:13" s="4" customFormat="1" ht="15.5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 spans="1:13" s="4" customFormat="1" ht="15.5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 spans="1:13" s="4" customFormat="1" ht="15.5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 spans="1:13" s="4" customFormat="1" ht="15.5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spans="1:13" s="4" customFormat="1" ht="15.5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 spans="1:13" s="4" customFormat="1" ht="15.5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 spans="1:13" s="4" customFormat="1" ht="15.5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 spans="1:13" s="4" customFormat="1" ht="15.5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 spans="1:13" s="4" customFormat="1" ht="15.5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 spans="1:13" s="4" customFormat="1" ht="15.5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spans="1:13" s="4" customFormat="1" ht="15.5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spans="1:13" s="4" customFormat="1" ht="15.5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spans="1:13" s="4" customFormat="1" ht="15.5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 spans="1:13" s="4" customFormat="1" ht="15.5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 spans="1:13" s="4" customFormat="1" ht="15.5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spans="1:13" s="4" customFormat="1" ht="15.5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 spans="1:13" s="4" customFormat="1" ht="15.5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 spans="1:13" s="4" customFormat="1" ht="15.5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spans="1:13" s="4" customFormat="1" ht="15.5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 spans="1:13" s="4" customFormat="1" ht="15.5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 spans="1:13" s="4" customFormat="1" ht="15.5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 spans="1:13" s="4" customFormat="1" ht="15.5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spans="1:13" s="4" customFormat="1" ht="15.5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 spans="1:13" s="4" customFormat="1" ht="15.5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spans="1:13" s="4" customFormat="1" ht="15.5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 spans="1:13" s="4" customFormat="1" ht="15.5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spans="1:13" s="4" customFormat="1" ht="15.5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 spans="1:13" s="4" customFormat="1" ht="15.5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 spans="1:13" s="4" customFormat="1" ht="15.5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spans="1:13" s="4" customFormat="1" ht="15.5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spans="1:13" s="4" customFormat="1" ht="15.5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spans="1:13" s="4" customFormat="1" ht="15.5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spans="1:13" s="4" customFormat="1" ht="15.5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 spans="1:13" s="4" customFormat="1" ht="15.5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 spans="1:13" s="4" customFormat="1" ht="15.5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spans="1:13" s="4" customFormat="1" ht="15.5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 spans="1:13" s="4" customFormat="1" ht="15.5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 spans="1:13" s="4" customFormat="1" ht="15.5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 spans="1:13" s="4" customFormat="1" ht="15.5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 spans="1:13" s="4" customFormat="1" ht="15.5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spans="1:13" s="4" customFormat="1" ht="15.5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 spans="1:13" s="4" customFormat="1" ht="15.5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 spans="1:13" s="4" customFormat="1" ht="15.5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 spans="1:13" s="4" customFormat="1" ht="15.5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 spans="1:13" s="4" customFormat="1" ht="15.5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 spans="1:13" s="4" customFormat="1" ht="15.5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 spans="1:13" s="4" customFormat="1" ht="15.5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 spans="1:13" s="4" customFormat="1" ht="15.5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spans="1:13" s="4" customFormat="1" ht="15.5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spans="1:13" s="4" customFormat="1" ht="15.5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spans="1:13" s="4" customFormat="1" ht="15.5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 spans="1:13" s="4" customFormat="1" ht="15.5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spans="1:13" s="4" customFormat="1" ht="15.5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 spans="1:13" s="4" customFormat="1" ht="15.5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 spans="1:13" s="4" customFormat="1" ht="15.5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 spans="1:13" s="4" customFormat="1" ht="15.5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 spans="1:13" s="4" customFormat="1" ht="15.5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 spans="1:13" s="4" customFormat="1" ht="15.5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 spans="1:13" s="4" customFormat="1" ht="15.5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 spans="1:13" s="4" customFormat="1" ht="15.5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spans="1:13" s="4" customFormat="1" ht="15.5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 spans="1:13" s="4" customFormat="1" ht="15.5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 spans="1:13" s="4" customFormat="1" ht="15.5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spans="1:13" s="4" customFormat="1" ht="15.5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spans="1:13" s="4" customFormat="1" ht="15.5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spans="1:13" s="4" customFormat="1" ht="15.5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 spans="1:13" s="4" customFormat="1" ht="15.5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spans="1:13" s="4" customFormat="1" ht="15.5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 spans="1:13" s="4" customFormat="1" ht="15.5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 spans="1:13" s="4" customFormat="1" ht="15.5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 spans="1:13" s="4" customFormat="1" ht="15.5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 spans="1:13" s="4" customFormat="1" ht="15.5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 spans="1:13" s="4" customFormat="1" ht="15.5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spans="1:13" s="4" customFormat="1" ht="15.5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 spans="1:13" s="4" customFormat="1" ht="15.5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 spans="1:13" s="4" customFormat="1" ht="15.5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</sheetData>
  <mergeCells count="21">
    <mergeCell ref="A25:B25"/>
    <mergeCell ref="A23:B23"/>
    <mergeCell ref="A24:B24"/>
    <mergeCell ref="A17:E18"/>
    <mergeCell ref="G17:I17"/>
    <mergeCell ref="A19:B19"/>
    <mergeCell ref="A20:B20"/>
    <mergeCell ref="A21:B21"/>
    <mergeCell ref="A22:B22"/>
    <mergeCell ref="H15:I15"/>
    <mergeCell ref="A1:K3"/>
    <mergeCell ref="A7:D7"/>
    <mergeCell ref="E7:G7"/>
    <mergeCell ref="J7:K7"/>
    <mergeCell ref="H9:I9"/>
    <mergeCell ref="J9:K9"/>
    <mergeCell ref="A11:C11"/>
    <mergeCell ref="D11:G11"/>
    <mergeCell ref="J11:K11"/>
    <mergeCell ref="D13:E13"/>
    <mergeCell ref="H13:I13"/>
  </mergeCells>
  <dataValidations count="2">
    <dataValidation type="list" allowBlank="1" showInputMessage="1" showErrorMessage="1" sqref="J7:K7" xr:uid="{C47B912F-4B85-48D6-99CD-7810D579EC26}">
      <formula1>mois_bon2</formula1>
    </dataValidation>
    <dataValidation type="list" allowBlank="1" showInputMessage="1" showErrorMessage="1" sqref="E7" xr:uid="{7F1F7757-3766-453C-B740-DC7665EA8879}">
      <formula1>secteur</formula1>
    </dataValidation>
  </dataValidations>
  <pageMargins left="0.7" right="0.7" top="0.75" bottom="0.75" header="0.3" footer="0.3"/>
  <pageSetup paperSize="9" scale="65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549B-DB55-40ED-89E5-5196785936D4}">
  <sheetPr>
    <tabColor rgb="FF7030A0"/>
  </sheetPr>
  <dimension ref="A1:M393"/>
  <sheetViews>
    <sheetView showGridLines="0" topLeftCell="A19" workbookViewId="0">
      <selection activeCell="A22" sqref="A22:B31"/>
    </sheetView>
  </sheetViews>
  <sheetFormatPr baseColWidth="10" defaultRowHeight="17.5" x14ac:dyDescent="0.35"/>
  <cols>
    <col min="1" max="1" width="10.90625" style="8"/>
    <col min="2" max="2" width="11.81640625" style="8" customWidth="1"/>
    <col min="3" max="3" width="14.1796875" style="8" customWidth="1"/>
    <col min="4" max="5" width="10.90625" style="8"/>
    <col min="6" max="6" width="3.54296875" style="8" customWidth="1"/>
    <col min="7" max="8" width="10.90625" style="8"/>
    <col min="9" max="9" width="14.453125" style="8" customWidth="1"/>
    <col min="10" max="10" width="10.90625" style="8"/>
    <col min="11" max="11" width="15.26953125" style="8" bestFit="1" customWidth="1"/>
    <col min="12" max="13" width="10.90625" style="8"/>
  </cols>
  <sheetData>
    <row r="1" spans="1:13" ht="7.5" customHeight="1" x14ac:dyDescent="0.35">
      <c r="A1" s="269" t="s">
        <v>50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</row>
    <row r="2" spans="1:13" ht="13.5" customHeight="1" x14ac:dyDescent="0.35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</row>
    <row r="3" spans="1:13" ht="15" hidden="1" customHeight="1" x14ac:dyDescent="0.35">
      <c r="A3" s="269"/>
      <c r="B3" s="269"/>
      <c r="C3" s="269"/>
      <c r="D3" s="269"/>
      <c r="E3" s="269"/>
      <c r="F3" s="269"/>
      <c r="G3" s="269"/>
      <c r="H3" s="269"/>
      <c r="I3" s="269"/>
      <c r="J3" s="269"/>
      <c r="K3" s="269"/>
    </row>
    <row r="4" spans="1:13" ht="5.25" customHeight="1" x14ac:dyDescent="0.35"/>
    <row r="5" spans="1:13" ht="13.5" customHeight="1" x14ac:dyDescent="0.35">
      <c r="A5" s="34" t="s">
        <v>52</v>
      </c>
    </row>
    <row r="6" spans="1:13" ht="5.25" customHeight="1" thickBot="1" x14ac:dyDescent="0.4">
      <c r="A6" s="34"/>
    </row>
    <row r="7" spans="1:13" s="23" customFormat="1" ht="16.5" thickTop="1" thickBot="1" x14ac:dyDescent="0.4">
      <c r="A7" s="270" t="s">
        <v>44</v>
      </c>
      <c r="B7" s="270"/>
      <c r="C7" s="270"/>
      <c r="D7" s="270"/>
      <c r="E7" s="271" t="s">
        <v>29</v>
      </c>
      <c r="F7" s="272"/>
      <c r="G7" s="273"/>
      <c r="I7" s="36" t="s">
        <v>46</v>
      </c>
      <c r="J7" s="274" t="s">
        <v>248</v>
      </c>
      <c r="K7" s="275"/>
      <c r="M7" s="28"/>
    </row>
    <row r="8" spans="1:13" ht="5.25" customHeight="1" thickTop="1" thickBot="1" x14ac:dyDescent="0.4"/>
    <row r="9" spans="1:13" ht="18.5" thickTop="1" thickBot="1" x14ac:dyDescent="0.4">
      <c r="H9" s="267" t="s">
        <v>53</v>
      </c>
      <c r="I9" s="268"/>
      <c r="J9" s="276">
        <v>46275</v>
      </c>
      <c r="K9" s="277"/>
    </row>
    <row r="10" spans="1:13" ht="18.5" thickTop="1" thickBot="1" x14ac:dyDescent="0.4">
      <c r="J10" s="45"/>
      <c r="K10" s="37"/>
    </row>
    <row r="11" spans="1:13" s="3" customFormat="1" ht="16.5" thickTop="1" thickBot="1" x14ac:dyDescent="0.4">
      <c r="A11" s="270" t="s">
        <v>45</v>
      </c>
      <c r="B11" s="270"/>
      <c r="C11" s="270"/>
      <c r="D11" s="271" t="s">
        <v>1</v>
      </c>
      <c r="E11" s="272"/>
      <c r="F11" s="272"/>
      <c r="G11" s="273"/>
      <c r="H11" s="23"/>
      <c r="I11" s="31" t="s">
        <v>47</v>
      </c>
      <c r="J11" s="271"/>
      <c r="K11" s="273"/>
      <c r="L11" s="23"/>
      <c r="M11" s="23"/>
    </row>
    <row r="12" spans="1:13" s="4" customFormat="1" ht="16.5" thickTop="1" thickBot="1" x14ac:dyDescent="0.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s="25" customFormat="1" ht="16.5" thickTop="1" thickBot="1" x14ac:dyDescent="0.4">
      <c r="A13" s="52" t="s">
        <v>76</v>
      </c>
      <c r="B13" s="46"/>
      <c r="C13" s="35">
        <v>2500000</v>
      </c>
      <c r="D13" s="267" t="s">
        <v>49</v>
      </c>
      <c r="E13" s="267"/>
      <c r="F13" s="32">
        <v>10</v>
      </c>
      <c r="G13" s="30" t="s">
        <v>48</v>
      </c>
      <c r="H13" s="278" t="s">
        <v>57</v>
      </c>
      <c r="I13" s="279"/>
      <c r="J13" s="33">
        <f>IF(C13&lt;1000000,F13*1.5%,F13%)</f>
        <v>0.1</v>
      </c>
      <c r="K13" s="24"/>
      <c r="L13" s="24"/>
      <c r="M13" s="24"/>
    </row>
    <row r="14" spans="1:13" s="4" customFormat="1" ht="16.5" thickTop="1" thickBot="1" x14ac:dyDescent="0.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s="3" customFormat="1" ht="16.5" thickTop="1" thickBot="1" x14ac:dyDescent="0.4">
      <c r="A15" s="23"/>
      <c r="B15" s="23"/>
      <c r="C15" s="23"/>
      <c r="D15" s="23"/>
      <c r="E15" s="23"/>
      <c r="F15" s="23"/>
      <c r="G15" s="23"/>
      <c r="H15" s="267" t="s">
        <v>26</v>
      </c>
      <c r="I15" s="268"/>
      <c r="J15" s="27">
        <f>C13*J13</f>
        <v>250000</v>
      </c>
      <c r="K15" s="23"/>
      <c r="L15" s="23"/>
      <c r="M15" s="23"/>
    </row>
    <row r="16" spans="1:13" s="4" customFormat="1" ht="16.5" thickTop="1" thickBot="1" x14ac:dyDescent="0.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s="4" customFormat="1" ht="18.75" customHeight="1" thickTop="1" thickBot="1" x14ac:dyDescent="0.4">
      <c r="A17" s="280" t="s">
        <v>51</v>
      </c>
      <c r="B17" s="280"/>
      <c r="C17" s="280"/>
      <c r="D17" s="280"/>
      <c r="E17" s="280"/>
      <c r="F17" s="15"/>
      <c r="G17" s="282" t="s">
        <v>73</v>
      </c>
      <c r="H17" s="282"/>
      <c r="I17" s="283"/>
      <c r="J17" s="51">
        <f>C13+J15</f>
        <v>2750000</v>
      </c>
      <c r="K17" s="15"/>
      <c r="L17" s="15"/>
      <c r="M17" s="15"/>
    </row>
    <row r="18" spans="1:13" s="4" customFormat="1" ht="13.5" customHeight="1" thickTop="1" thickBot="1" x14ac:dyDescent="0.4">
      <c r="A18" s="281"/>
      <c r="B18" s="281"/>
      <c r="C18" s="281"/>
      <c r="D18" s="281"/>
      <c r="E18" s="281"/>
      <c r="F18" s="15"/>
      <c r="G18" s="15"/>
      <c r="H18" s="15"/>
      <c r="I18" s="15"/>
      <c r="J18" s="15"/>
      <c r="K18" s="15"/>
      <c r="L18" s="15"/>
      <c r="M18" s="15"/>
    </row>
    <row r="19" spans="1:13" s="4" customFormat="1" ht="42.75" customHeight="1" thickTop="1" thickBot="1" x14ac:dyDescent="0.45">
      <c r="A19" s="284" t="s">
        <v>196</v>
      </c>
      <c r="B19" s="285"/>
      <c r="C19" s="38" t="s">
        <v>54</v>
      </c>
      <c r="D19" s="39" t="s">
        <v>55</v>
      </c>
      <c r="E19" s="40" t="s">
        <v>56</v>
      </c>
      <c r="F19" s="15"/>
      <c r="G19" s="26"/>
      <c r="H19" s="15"/>
      <c r="I19" s="15"/>
      <c r="J19" s="15"/>
      <c r="K19" s="15"/>
      <c r="L19" s="15"/>
      <c r="M19" s="15"/>
    </row>
    <row r="20" spans="1:13" s="4" customFormat="1" ht="16" thickBot="1" x14ac:dyDescent="0.4">
      <c r="A20" s="286">
        <v>45931</v>
      </c>
      <c r="B20" s="287"/>
      <c r="C20" s="41"/>
      <c r="D20" s="44"/>
      <c r="E20" s="43">
        <f t="shared" ref="E20:E31" si="0">C20-D20</f>
        <v>0</v>
      </c>
      <c r="F20" s="15"/>
      <c r="G20" s="15"/>
      <c r="H20" s="15"/>
      <c r="I20" s="15"/>
      <c r="J20" s="15"/>
      <c r="K20" s="15"/>
      <c r="L20" s="15"/>
      <c r="M20" s="15"/>
    </row>
    <row r="21" spans="1:13" s="4" customFormat="1" ht="16" thickBot="1" x14ac:dyDescent="0.4">
      <c r="A21" s="286">
        <v>45962</v>
      </c>
      <c r="B21" s="287"/>
      <c r="C21" s="41"/>
      <c r="D21" s="44"/>
      <c r="E21" s="43">
        <f t="shared" si="0"/>
        <v>0</v>
      </c>
      <c r="F21" s="15"/>
      <c r="G21" s="15"/>
      <c r="H21" s="15"/>
      <c r="I21" s="15"/>
      <c r="J21" s="15"/>
      <c r="K21" s="15"/>
      <c r="L21" s="15"/>
      <c r="M21" s="15"/>
    </row>
    <row r="22" spans="1:13" s="4" customFormat="1" ht="16" thickBot="1" x14ac:dyDescent="0.4">
      <c r="A22" s="286">
        <v>45992</v>
      </c>
      <c r="B22" s="287"/>
      <c r="C22" s="41">
        <f t="shared" ref="C22:C31" si="1">J$17/F$13</f>
        <v>275000</v>
      </c>
      <c r="D22" s="44"/>
      <c r="E22" s="43">
        <f t="shared" si="0"/>
        <v>275000</v>
      </c>
      <c r="F22" s="15"/>
      <c r="G22" s="15"/>
      <c r="H22" s="15"/>
      <c r="I22" s="15"/>
      <c r="J22" s="15"/>
      <c r="K22" s="15"/>
      <c r="L22" s="15"/>
      <c r="M22" s="15"/>
    </row>
    <row r="23" spans="1:13" s="4" customFormat="1" ht="16" thickBot="1" x14ac:dyDescent="0.4">
      <c r="A23" s="286">
        <v>46023</v>
      </c>
      <c r="B23" s="287"/>
      <c r="C23" s="41">
        <f t="shared" si="1"/>
        <v>275000</v>
      </c>
      <c r="D23" s="44"/>
      <c r="E23" s="43">
        <f t="shared" si="0"/>
        <v>275000</v>
      </c>
      <c r="F23" s="15"/>
      <c r="G23" s="15"/>
      <c r="H23" s="15"/>
      <c r="I23" s="15"/>
      <c r="J23" s="15"/>
      <c r="K23" s="15"/>
      <c r="L23" s="15"/>
      <c r="M23" s="15"/>
    </row>
    <row r="24" spans="1:13" s="4" customFormat="1" ht="16" thickBot="1" x14ac:dyDescent="0.4">
      <c r="A24" s="286">
        <v>46054</v>
      </c>
      <c r="B24" s="287"/>
      <c r="C24" s="41">
        <f t="shared" si="1"/>
        <v>275000</v>
      </c>
      <c r="D24" s="44"/>
      <c r="E24" s="43">
        <f t="shared" si="0"/>
        <v>275000</v>
      </c>
      <c r="F24" s="15"/>
      <c r="G24" s="15"/>
      <c r="H24" s="15"/>
      <c r="I24" s="15"/>
      <c r="J24" s="15"/>
      <c r="K24" s="15"/>
      <c r="L24" s="15"/>
      <c r="M24" s="15"/>
    </row>
    <row r="25" spans="1:13" s="4" customFormat="1" ht="16" thickBot="1" x14ac:dyDescent="0.4">
      <c r="A25" s="286">
        <v>46082</v>
      </c>
      <c r="B25" s="287"/>
      <c r="C25" s="41">
        <f t="shared" si="1"/>
        <v>275000</v>
      </c>
      <c r="D25" s="44"/>
      <c r="E25" s="43">
        <f t="shared" si="0"/>
        <v>275000</v>
      </c>
      <c r="F25" s="15"/>
      <c r="G25" s="15"/>
      <c r="H25" s="15"/>
      <c r="I25" s="15"/>
      <c r="J25" s="15"/>
      <c r="K25" s="15"/>
      <c r="L25" s="15"/>
      <c r="M25" s="15"/>
    </row>
    <row r="26" spans="1:13" s="4" customFormat="1" ht="16" thickBot="1" x14ac:dyDescent="0.4">
      <c r="A26" s="286">
        <v>46113</v>
      </c>
      <c r="B26" s="287"/>
      <c r="C26" s="41">
        <f t="shared" si="1"/>
        <v>275000</v>
      </c>
      <c r="D26" s="44"/>
      <c r="E26" s="43">
        <f t="shared" si="0"/>
        <v>275000</v>
      </c>
      <c r="F26" s="15"/>
      <c r="G26" s="15"/>
      <c r="H26" s="15"/>
      <c r="I26" s="15"/>
      <c r="J26" s="15"/>
      <c r="K26" s="15"/>
      <c r="L26" s="15"/>
      <c r="M26" s="15"/>
    </row>
    <row r="27" spans="1:13" s="4" customFormat="1" ht="16" thickBot="1" x14ac:dyDescent="0.4">
      <c r="A27" s="286">
        <v>46143</v>
      </c>
      <c r="B27" s="287"/>
      <c r="C27" s="41">
        <f t="shared" si="1"/>
        <v>275000</v>
      </c>
      <c r="D27" s="44"/>
      <c r="E27" s="43">
        <f t="shared" si="0"/>
        <v>275000</v>
      </c>
      <c r="F27" s="15"/>
      <c r="G27" s="15"/>
      <c r="H27" s="15"/>
      <c r="I27" s="15"/>
      <c r="J27" s="15"/>
      <c r="K27" s="15"/>
      <c r="L27" s="15"/>
      <c r="M27" s="15"/>
    </row>
    <row r="28" spans="1:13" s="4" customFormat="1" ht="16" thickBot="1" x14ac:dyDescent="0.4">
      <c r="A28" s="286">
        <v>46174</v>
      </c>
      <c r="B28" s="287"/>
      <c r="C28" s="41">
        <f t="shared" si="1"/>
        <v>275000</v>
      </c>
      <c r="D28" s="44"/>
      <c r="E28" s="43">
        <f t="shared" si="0"/>
        <v>275000</v>
      </c>
      <c r="F28" s="15"/>
      <c r="G28" s="15"/>
      <c r="H28" s="15"/>
      <c r="I28" s="15"/>
      <c r="J28" s="15"/>
      <c r="K28" s="15"/>
      <c r="L28" s="15"/>
      <c r="M28" s="15"/>
    </row>
    <row r="29" spans="1:13" s="4" customFormat="1" ht="16" thickBot="1" x14ac:dyDescent="0.4">
      <c r="A29" s="286">
        <v>46204</v>
      </c>
      <c r="B29" s="287"/>
      <c r="C29" s="41">
        <f t="shared" si="1"/>
        <v>275000</v>
      </c>
      <c r="D29" s="44"/>
      <c r="E29" s="43">
        <f t="shared" si="0"/>
        <v>275000</v>
      </c>
      <c r="F29" s="15"/>
      <c r="G29" s="15"/>
      <c r="H29" s="15"/>
      <c r="I29" s="15"/>
      <c r="J29" s="15"/>
      <c r="K29" s="15"/>
      <c r="L29" s="15"/>
      <c r="M29" s="15"/>
    </row>
    <row r="30" spans="1:13" s="4" customFormat="1" ht="16" thickBot="1" x14ac:dyDescent="0.4">
      <c r="A30" s="286">
        <v>46235</v>
      </c>
      <c r="B30" s="287"/>
      <c r="C30" s="41">
        <f t="shared" si="1"/>
        <v>275000</v>
      </c>
      <c r="D30" s="44"/>
      <c r="E30" s="43">
        <f t="shared" si="0"/>
        <v>275000</v>
      </c>
      <c r="F30" s="15"/>
      <c r="G30" s="15"/>
      <c r="H30" s="15"/>
      <c r="I30" s="15"/>
      <c r="J30" s="15"/>
      <c r="K30" s="15"/>
      <c r="L30" s="15"/>
      <c r="M30" s="15"/>
    </row>
    <row r="31" spans="1:13" s="4" customFormat="1" ht="16" thickBot="1" x14ac:dyDescent="0.4">
      <c r="A31" s="286">
        <v>46266</v>
      </c>
      <c r="B31" s="287"/>
      <c r="C31" s="41">
        <f t="shared" si="1"/>
        <v>275000</v>
      </c>
      <c r="D31" s="44"/>
      <c r="E31" s="43">
        <f t="shared" si="0"/>
        <v>275000</v>
      </c>
      <c r="F31" s="15"/>
      <c r="G31" s="15"/>
      <c r="H31" s="15"/>
      <c r="I31" s="15"/>
      <c r="J31" s="15"/>
      <c r="K31" s="15"/>
      <c r="L31" s="15"/>
      <c r="M31" s="15"/>
    </row>
    <row r="32" spans="1:13" s="3" customFormat="1" ht="20.25" customHeight="1" thickBot="1" x14ac:dyDescent="0.4">
      <c r="A32" s="288" t="s">
        <v>43</v>
      </c>
      <c r="B32" s="289"/>
      <c r="C32" s="29">
        <f>SUM(C20:C31)</f>
        <v>2750000</v>
      </c>
      <c r="D32" s="29">
        <f>SUM(D20:D31)</f>
        <v>0</v>
      </c>
      <c r="E32" s="29">
        <f>SUM(E20:E31)</f>
        <v>2750000</v>
      </c>
      <c r="F32" s="23"/>
      <c r="G32" s="23"/>
      <c r="H32" s="23"/>
      <c r="I32" s="23"/>
      <c r="J32" s="23"/>
      <c r="K32" s="23"/>
      <c r="L32" s="23"/>
      <c r="M32" s="23"/>
    </row>
    <row r="33" spans="1:13" s="4" customFormat="1" ht="16" thickTop="1" x14ac:dyDescent="0.3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13" s="4" customFormat="1" ht="15.5" x14ac:dyDescent="0.3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1:13" s="4" customFormat="1" ht="15.5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 s="4" customFormat="1" ht="15.5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s="4" customFormat="1" ht="15.5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s="4" customFormat="1" ht="15.5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s="4" customFormat="1" ht="15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s="4" customFormat="1" ht="15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s="4" customFormat="1" ht="15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s="4" customFormat="1" ht="15.5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 s="4" customFormat="1" ht="15.5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s="4" customFormat="1" ht="15.5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s="4" customFormat="1" ht="15.5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s="4" customFormat="1" ht="15.5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s="4" customFormat="1" ht="15.5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s="4" customFormat="1" ht="15.5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s="4" customFormat="1" ht="15.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s="4" customFormat="1" ht="15.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s="4" customFormat="1" ht="15.5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s="4" customFormat="1" ht="15.5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s="4" customFormat="1" ht="15.5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s="4" customFormat="1" ht="15.5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s="4" customFormat="1" ht="15.5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 s="4" customFormat="1" ht="15.5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s="4" customFormat="1" ht="15.5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 s="4" customFormat="1" ht="15.5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s="4" customFormat="1" ht="15.5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s="4" customFormat="1" ht="15.5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s="4" customFormat="1" ht="15.5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 s="4" customFormat="1" ht="15.5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s="4" customFormat="1" ht="15.5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 s="4" customFormat="1" ht="15.5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s="4" customFormat="1" ht="15.5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s="4" customFormat="1" ht="15.5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s="4" customFormat="1" ht="15.5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s="4" customFormat="1" ht="15.5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s="4" customFormat="1" ht="15.5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s="4" customFormat="1" ht="15.5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s="4" customFormat="1" ht="15.5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s="4" customFormat="1" ht="15.5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s="4" customFormat="1" ht="15.5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s="4" customFormat="1" ht="15.5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 s="4" customFormat="1" ht="15.5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s="4" customFormat="1" ht="15.5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s="4" customFormat="1" ht="15.5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 s="4" customFormat="1" ht="15.5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s="4" customFormat="1" ht="15.5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s="4" customFormat="1" ht="15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s="4" customFormat="1" ht="15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s="4" customFormat="1" ht="15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 s="4" customFormat="1" ht="15.5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s="4" customFormat="1" ht="15.5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1:13" s="4" customFormat="1" ht="15.5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1:13" s="4" customFormat="1" ht="15.5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 s="4" customFormat="1" ht="15.5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 s="4" customFormat="1" ht="15.5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s="4" customFormat="1" ht="15.5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 s="4" customFormat="1" ht="15.5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 s="4" customFormat="1" ht="15.5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 s="4" customFormat="1" ht="15.5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 s="4" customFormat="1" ht="15.5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1:13" s="4" customFormat="1" ht="15.5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s="4" customFormat="1" ht="15.5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 s="4" customFormat="1" ht="15.5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s="4" customFormat="1" ht="15.5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s="4" customFormat="1" ht="15.5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1:13" s="4" customFormat="1" ht="15.5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 s="4" customFormat="1" ht="15.5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s="4" customFormat="1" ht="15.5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1:13" s="4" customFormat="1" ht="15.5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s="4" customFormat="1" ht="15.5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s="4" customFormat="1" ht="15.5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1:13" s="4" customFormat="1" ht="15.5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1:13" s="4" customFormat="1" ht="15.5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1:13" s="4" customFormat="1" ht="15.5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 s="4" customFormat="1" ht="15.5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1:13" s="4" customFormat="1" ht="15.5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s="4" customFormat="1" ht="15.5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1:13" s="4" customFormat="1" ht="15.5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 s="4" customFormat="1" ht="15.5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1:13" s="4" customFormat="1" ht="15.5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 s="4" customFormat="1" ht="15.5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 s="4" customFormat="1" ht="15.5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 s="4" customFormat="1" ht="15.5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 s="4" customFormat="1" ht="15.5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 s="4" customFormat="1" ht="15.5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 s="4" customFormat="1" ht="15.5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 s="4" customFormat="1" ht="15.5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 s="4" customFormat="1" ht="15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1:13" s="4" customFormat="1" ht="15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1:13" s="4" customFormat="1" ht="15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1:13" s="4" customFormat="1" ht="15.5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1:13" s="4" customFormat="1" ht="15.5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1:13" s="4" customFormat="1" ht="15.5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 s="4" customFormat="1" ht="15.5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1:13" s="4" customFormat="1" ht="15.5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s="4" customFormat="1" ht="15.5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3" s="4" customFormat="1" ht="15.5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1:13" s="4" customFormat="1" ht="15.5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 s="4" customFormat="1" ht="15.5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 s="4" customFormat="1" ht="15.5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 s="4" customFormat="1" ht="15.5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 s="4" customFormat="1" ht="15.5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 s="4" customFormat="1" ht="15.5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1:13" s="4" customFormat="1" ht="15.5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1:13" s="4" customFormat="1" ht="15.5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1:13" s="4" customFormat="1" ht="15.5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 s="4" customFormat="1" ht="15.5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1:13" s="4" customFormat="1" ht="15.5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 s="4" customFormat="1" ht="15.5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 s="4" customFormat="1" ht="15.5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1:13" s="4" customFormat="1" ht="15.5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1:13" s="4" customFormat="1" ht="15.5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 s="4" customFormat="1" ht="15.5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1:13" s="4" customFormat="1" ht="15.5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 s="4" customFormat="1" ht="15.5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1:13" s="4" customFormat="1" ht="15.5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1:13" s="4" customFormat="1" ht="15.5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 s="4" customFormat="1" ht="15.5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 s="4" customFormat="1" ht="15.5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s="4" customFormat="1" ht="15.5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 s="4" customFormat="1" ht="15.5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1:13" s="4" customFormat="1" ht="15.5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 s="4" customFormat="1" ht="15.5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spans="1:13" s="4" customFormat="1" ht="15.5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spans="1:13" s="4" customFormat="1" ht="15.5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spans="1:13" s="4" customFormat="1" ht="15.5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1:13" s="4" customFormat="1" ht="15.5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1:13" s="4" customFormat="1" ht="15.5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1:13" s="4" customFormat="1" ht="15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1:13" s="4" customFormat="1" ht="15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1:13" s="4" customFormat="1" ht="15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spans="1:13" s="4" customFormat="1" ht="15.5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1:13" s="4" customFormat="1" ht="15.5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1:13" s="4" customFormat="1" ht="15.5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spans="1:13" s="4" customFormat="1" ht="15.5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spans="1:13" s="4" customFormat="1" ht="15.5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spans="1:13" s="4" customFormat="1" ht="15.5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spans="1:13" s="4" customFormat="1" ht="15.5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spans="1:13" s="4" customFormat="1" ht="15.5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spans="1:13" s="4" customFormat="1" ht="15.5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spans="1:13" s="4" customFormat="1" ht="15.5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spans="1:13" s="4" customFormat="1" ht="15.5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spans="1:13" s="4" customFormat="1" ht="15.5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spans="1:13" s="4" customFormat="1" ht="15.5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1:13" s="4" customFormat="1" ht="15.5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spans="1:13" s="4" customFormat="1" ht="15.5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1:13" s="4" customFormat="1" ht="15.5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spans="1:13" s="4" customFormat="1" ht="15.5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1:13" s="4" customFormat="1" ht="15.5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spans="1:13" s="4" customFormat="1" ht="15.5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1:13" s="4" customFormat="1" ht="15.5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spans="1:13" s="4" customFormat="1" ht="15.5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spans="1:13" s="4" customFormat="1" ht="15.5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spans="1:13" s="4" customFormat="1" ht="15.5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1:13" s="4" customFormat="1" ht="15.5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spans="1:13" s="4" customFormat="1" ht="15.5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1:13" s="4" customFormat="1" ht="15.5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spans="1:13" s="4" customFormat="1" ht="15.5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spans="1:13" s="4" customFormat="1" ht="15.5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spans="1:13" s="4" customFormat="1" ht="15.5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spans="1:13" s="4" customFormat="1" ht="15.5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spans="1:13" s="4" customFormat="1" ht="15.5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1:13" s="4" customFormat="1" ht="15.5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spans="1:13" s="4" customFormat="1" ht="15.5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spans="1:13" s="4" customFormat="1" ht="15.5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1:13" s="4" customFormat="1" ht="15.5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1:13" s="4" customFormat="1" ht="15.5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1:13" s="4" customFormat="1" ht="15.5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spans="1:13" s="4" customFormat="1" ht="15.5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spans="1:13" s="4" customFormat="1" ht="15.5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  <row r="204" spans="1:13" s="4" customFormat="1" ht="15.5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</row>
    <row r="205" spans="1:13" s="4" customFormat="1" ht="15.5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</row>
    <row r="206" spans="1:13" s="4" customFormat="1" ht="15.5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1:13" s="4" customFormat="1" ht="15.5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spans="1:13" s="4" customFormat="1" ht="15.5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1:13" s="4" customFormat="1" ht="15.5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</row>
    <row r="210" spans="1:13" s="4" customFormat="1" ht="15.5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</row>
    <row r="211" spans="1:13" s="4" customFormat="1" ht="15.5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</row>
    <row r="212" spans="1:13" s="4" customFormat="1" ht="15.5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spans="1:13" s="4" customFormat="1" ht="15.5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</row>
    <row r="214" spans="1:13" s="4" customFormat="1" ht="15.5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spans="1:13" s="4" customFormat="1" ht="15.5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spans="1:13" s="4" customFormat="1" ht="15.5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spans="1:13" s="4" customFormat="1" ht="15.5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spans="1:13" s="4" customFormat="1" ht="15.5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spans="1:13" s="4" customFormat="1" ht="15.5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spans="1:13" s="4" customFormat="1" ht="15.5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spans="1:13" s="4" customFormat="1" ht="15.5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spans="1:13" s="4" customFormat="1" ht="15.5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spans="1:13" s="4" customFormat="1" ht="15.5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spans="1:13" s="4" customFormat="1" ht="15.5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5" spans="1:13" s="4" customFormat="1" ht="15.5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spans="1:13" s="4" customFormat="1" ht="15.5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27" spans="1:13" s="4" customFormat="1" ht="15.5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spans="1:13" s="4" customFormat="1" ht="15.5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spans="1:13" s="4" customFormat="1" ht="15.5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spans="1:13" s="4" customFormat="1" ht="15.5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</row>
    <row r="231" spans="1:13" s="4" customFormat="1" ht="15.5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</row>
    <row r="232" spans="1:13" s="4" customFormat="1" ht="15.5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</row>
    <row r="233" spans="1:13" s="4" customFormat="1" ht="15.5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</row>
    <row r="234" spans="1:13" s="4" customFormat="1" ht="15.5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spans="1:13" s="4" customFormat="1" ht="15.5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</row>
    <row r="236" spans="1:13" s="4" customFormat="1" ht="15.5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spans="1:13" s="4" customFormat="1" ht="15.5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</row>
    <row r="238" spans="1:13" s="4" customFormat="1" ht="15.5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spans="1:13" s="4" customFormat="1" ht="15.5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</row>
    <row r="240" spans="1:13" s="4" customFormat="1" ht="15.5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spans="1:13" s="4" customFormat="1" ht="15.5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</row>
    <row r="242" spans="1:13" s="4" customFormat="1" ht="15.5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3" spans="1:13" s="4" customFormat="1" ht="15.5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</row>
    <row r="244" spans="1:13" s="4" customFormat="1" ht="15.5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1:13" s="4" customFormat="1" ht="15.5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spans="1:13" s="4" customFormat="1" ht="15.5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spans="1:13" s="4" customFormat="1" ht="15.5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spans="1:13" s="4" customFormat="1" ht="15.5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spans="1:13" s="4" customFormat="1" ht="15.5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spans="1:13" s="4" customFormat="1" ht="15.5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</row>
    <row r="251" spans="1:13" s="4" customFormat="1" ht="15.5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spans="1:13" s="4" customFormat="1" ht="15.5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spans="1:13" s="4" customFormat="1" ht="15.5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</row>
    <row r="254" spans="1:13" s="4" customFormat="1" ht="15.5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spans="1:13" s="4" customFormat="1" ht="15.5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</row>
    <row r="256" spans="1:13" s="4" customFormat="1" ht="15.5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</row>
    <row r="257" spans="1:13" s="4" customFormat="1" ht="15.5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spans="1:13" s="4" customFormat="1" ht="15.5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</row>
    <row r="259" spans="1:13" s="4" customFormat="1" ht="15.5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spans="1:13" s="4" customFormat="1" ht="15.5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spans="1:13" s="4" customFormat="1" ht="15.5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spans="1:13" s="4" customFormat="1" ht="15.5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spans="1:13" s="4" customFormat="1" ht="15.5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spans="1:13" s="4" customFormat="1" ht="15.5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spans="1:13" s="4" customFormat="1" ht="15.5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spans="1:13" s="4" customFormat="1" ht="15.5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spans="1:13" s="4" customFormat="1" ht="15.5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</row>
    <row r="268" spans="1:13" s="4" customFormat="1" ht="15.5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spans="1:13" s="4" customFormat="1" ht="15.5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</row>
    <row r="270" spans="1:13" s="4" customFormat="1" ht="15.5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</row>
    <row r="271" spans="1:13" s="4" customFormat="1" ht="15.5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</row>
    <row r="272" spans="1:13" s="4" customFormat="1" ht="15.5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spans="1:13" s="4" customFormat="1" ht="15.5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spans="1:13" s="4" customFormat="1" ht="15.5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</row>
    <row r="275" spans="1:13" s="4" customFormat="1" ht="15.5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</row>
    <row r="276" spans="1:13" s="4" customFormat="1" ht="15.5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spans="1:13" s="4" customFormat="1" ht="15.5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 spans="1:13" s="4" customFormat="1" ht="15.5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 spans="1:13" s="4" customFormat="1" ht="15.5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 spans="1:13" s="4" customFormat="1" ht="15.5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spans="1:13" s="4" customFormat="1" ht="15.5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 spans="1:13" s="4" customFormat="1" ht="15.5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spans="1:13" s="4" customFormat="1" ht="15.5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spans="1:13" s="4" customFormat="1" ht="15.5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spans="1:13" s="4" customFormat="1" ht="15.5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spans="1:13" s="4" customFormat="1" ht="15.5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 spans="1:13" s="4" customFormat="1" ht="15.5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 spans="1:13" s="4" customFormat="1" ht="15.5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 spans="1:13" s="4" customFormat="1" ht="15.5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spans="1:13" s="4" customFormat="1" ht="15.5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 spans="1:13" s="4" customFormat="1" ht="15.5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 spans="1:13" s="4" customFormat="1" ht="15.5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 spans="1:13" s="4" customFormat="1" ht="15.5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spans="1:13" s="4" customFormat="1" ht="15.5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 spans="1:13" s="4" customFormat="1" ht="15.5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spans="1:13" s="4" customFormat="1" ht="15.5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 spans="1:13" s="4" customFormat="1" ht="15.5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spans="1:13" s="4" customFormat="1" ht="15.5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 spans="1:13" s="4" customFormat="1" ht="15.5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 spans="1:13" s="4" customFormat="1" ht="15.5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 spans="1:13" s="4" customFormat="1" ht="15.5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spans="1:13" s="4" customFormat="1" ht="15.5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spans="1:13" s="4" customFormat="1" ht="15.5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spans="1:13" s="4" customFormat="1" ht="15.5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 spans="1:13" s="4" customFormat="1" ht="15.5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 spans="1:13" s="4" customFormat="1" ht="15.5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 spans="1:13" s="4" customFormat="1" ht="15.5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 spans="1:13" s="4" customFormat="1" ht="15.5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 spans="1:13" s="4" customFormat="1" ht="15.5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spans="1:13" s="4" customFormat="1" ht="15.5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 spans="1:13" s="4" customFormat="1" ht="15.5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 spans="1:13" s="4" customFormat="1" ht="15.5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 spans="1:13" s="4" customFormat="1" ht="15.5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 spans="1:13" s="4" customFormat="1" ht="15.5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spans="1:13" s="4" customFormat="1" ht="15.5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 spans="1:13" s="4" customFormat="1" ht="15.5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 spans="1:13" s="4" customFormat="1" ht="15.5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 spans="1:13" s="4" customFormat="1" ht="15.5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 spans="1:13" s="4" customFormat="1" ht="15.5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 spans="1:13" s="4" customFormat="1" ht="15.5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spans="1:13" s="4" customFormat="1" ht="15.5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spans="1:13" s="4" customFormat="1" ht="15.5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spans="1:13" s="4" customFormat="1" ht="15.5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 spans="1:13" s="4" customFormat="1" ht="15.5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 spans="1:13" s="4" customFormat="1" ht="15.5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spans="1:13" s="4" customFormat="1" ht="15.5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 spans="1:13" s="4" customFormat="1" ht="15.5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 spans="1:13" s="4" customFormat="1" ht="15.5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spans="1:13" s="4" customFormat="1" ht="15.5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 spans="1:13" s="4" customFormat="1" ht="15.5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 spans="1:13" s="4" customFormat="1" ht="15.5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 spans="1:13" s="4" customFormat="1" ht="15.5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spans="1:13" s="4" customFormat="1" ht="15.5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 spans="1:13" s="4" customFormat="1" ht="15.5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spans="1:13" s="4" customFormat="1" ht="15.5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 spans="1:13" s="4" customFormat="1" ht="15.5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spans="1:13" s="4" customFormat="1" ht="15.5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 spans="1:13" s="4" customFormat="1" ht="15.5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 spans="1:13" s="4" customFormat="1" ht="15.5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spans="1:13" s="4" customFormat="1" ht="15.5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spans="1:13" s="4" customFormat="1" ht="15.5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spans="1:13" s="4" customFormat="1" ht="15.5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spans="1:13" s="4" customFormat="1" ht="15.5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 spans="1:13" s="4" customFormat="1" ht="15.5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 spans="1:13" s="4" customFormat="1" ht="15.5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spans="1:13" s="4" customFormat="1" ht="15.5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 spans="1:13" s="4" customFormat="1" ht="15.5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 spans="1:13" s="4" customFormat="1" ht="15.5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 spans="1:13" s="4" customFormat="1" ht="15.5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 spans="1:13" s="4" customFormat="1" ht="15.5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spans="1:13" s="4" customFormat="1" ht="15.5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 spans="1:13" s="4" customFormat="1" ht="15.5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 spans="1:13" s="4" customFormat="1" ht="15.5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 spans="1:13" s="4" customFormat="1" ht="15.5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 spans="1:13" s="4" customFormat="1" ht="15.5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 spans="1:13" s="4" customFormat="1" ht="15.5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 spans="1:13" s="4" customFormat="1" ht="15.5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 spans="1:13" s="4" customFormat="1" ht="15.5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spans="1:13" s="4" customFormat="1" ht="15.5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spans="1:13" s="4" customFormat="1" ht="15.5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spans="1:13" s="4" customFormat="1" ht="15.5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 spans="1:13" s="4" customFormat="1" ht="15.5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spans="1:13" s="4" customFormat="1" ht="15.5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 spans="1:13" s="4" customFormat="1" ht="15.5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 spans="1:13" s="4" customFormat="1" ht="15.5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 spans="1:13" s="4" customFormat="1" ht="15.5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 spans="1:13" s="4" customFormat="1" ht="15.5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 spans="1:13" s="4" customFormat="1" ht="15.5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 spans="1:13" s="4" customFormat="1" ht="15.5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 spans="1:13" s="4" customFormat="1" ht="15.5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spans="1:13" s="4" customFormat="1" ht="15.5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 spans="1:13" s="4" customFormat="1" ht="15.5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 spans="1:13" s="4" customFormat="1" ht="15.5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spans="1:13" s="4" customFormat="1" ht="15.5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spans="1:13" s="4" customFormat="1" ht="15.5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spans="1:13" s="4" customFormat="1" ht="15.5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 spans="1:13" s="4" customFormat="1" ht="15.5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spans="1:13" s="4" customFormat="1" ht="15.5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 spans="1:13" s="4" customFormat="1" ht="15.5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 spans="1:13" s="4" customFormat="1" ht="15.5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 spans="1:13" s="4" customFormat="1" ht="15.5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 spans="1:13" s="4" customFormat="1" ht="15.5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 spans="1:13" s="4" customFormat="1" ht="15.5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spans="1:13" s="4" customFormat="1" ht="15.5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 spans="1:13" s="4" customFormat="1" ht="15.5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 spans="1:13" s="4" customFormat="1" ht="15.5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  <row r="387" spans="1:13" s="4" customFormat="1" ht="15.5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</row>
    <row r="388" spans="1:13" s="4" customFormat="1" ht="15.5" x14ac:dyDescent="0.3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</row>
    <row r="389" spans="1:13" s="4" customFormat="1" ht="15.5" x14ac:dyDescent="0.3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</row>
    <row r="390" spans="1:13" s="4" customFormat="1" ht="15.5" x14ac:dyDescent="0.3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</row>
    <row r="391" spans="1:13" s="4" customFormat="1" ht="15.5" x14ac:dyDescent="0.3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</row>
    <row r="392" spans="1:13" s="4" customFormat="1" ht="15.5" x14ac:dyDescent="0.3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</row>
    <row r="393" spans="1:13" s="4" customFormat="1" ht="15.5" x14ac:dyDescent="0.3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</row>
  </sheetData>
  <mergeCells count="2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22:B22"/>
    <mergeCell ref="A11:C11"/>
    <mergeCell ref="D11:G11"/>
    <mergeCell ref="J11:K11"/>
    <mergeCell ref="D13:E13"/>
    <mergeCell ref="H13:I13"/>
    <mergeCell ref="H15:I15"/>
    <mergeCell ref="A17:E18"/>
    <mergeCell ref="G17:I17"/>
    <mergeCell ref="A19:B19"/>
    <mergeCell ref="A20:B20"/>
    <mergeCell ref="A21:B21"/>
    <mergeCell ref="A1:K3"/>
    <mergeCell ref="A7:D7"/>
    <mergeCell ref="E7:G7"/>
    <mergeCell ref="J7:K7"/>
    <mergeCell ref="H9:I9"/>
    <mergeCell ref="J9:K9"/>
  </mergeCells>
  <dataValidations count="2">
    <dataValidation type="list" allowBlank="1" showInputMessage="1" showErrorMessage="1" sqref="E7" xr:uid="{6AE81CF0-4212-4341-9DEB-F2F189FA19DF}">
      <formula1>secteur</formula1>
    </dataValidation>
    <dataValidation type="list" allowBlank="1" showInputMessage="1" showErrorMessage="1" sqref="J7:K7" xr:uid="{C58B92A7-F7D6-458D-ACE1-12870A0955AF}">
      <formula1>mois_bon2</formula1>
    </dataValidation>
  </dataValidations>
  <pageMargins left="0.7" right="0.7" top="0.75" bottom="0.75" header="0.3" footer="0.3"/>
  <pageSetup paperSize="9" scale="65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FC19-C52B-4E2C-8F34-82C07A21E269}">
  <sheetPr>
    <tabColor rgb="FF7030A0"/>
  </sheetPr>
  <dimension ref="A1:M401"/>
  <sheetViews>
    <sheetView showGridLines="0" topLeftCell="A12" workbookViewId="0">
      <selection activeCell="G15" sqref="G15"/>
    </sheetView>
  </sheetViews>
  <sheetFormatPr baseColWidth="10" defaultRowHeight="17.5" x14ac:dyDescent="0.35"/>
  <cols>
    <col min="1" max="1" width="10.90625" style="8"/>
    <col min="2" max="2" width="11.81640625" style="8" customWidth="1"/>
    <col min="3" max="3" width="14.1796875" style="8" customWidth="1"/>
    <col min="4" max="5" width="10.90625" style="8"/>
    <col min="6" max="6" width="3.54296875" style="8" customWidth="1"/>
    <col min="7" max="8" width="10.90625" style="8"/>
    <col min="9" max="9" width="14.453125" style="8" customWidth="1"/>
    <col min="10" max="10" width="10.90625" style="8"/>
    <col min="11" max="11" width="15.26953125" style="8" bestFit="1" customWidth="1"/>
    <col min="12" max="13" width="10.90625" style="8"/>
  </cols>
  <sheetData>
    <row r="1" spans="1:13" ht="7.5" customHeight="1" x14ac:dyDescent="0.35">
      <c r="A1" s="269" t="s">
        <v>50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</row>
    <row r="2" spans="1:13" ht="13.5" customHeight="1" x14ac:dyDescent="0.35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</row>
    <row r="3" spans="1:13" ht="15" hidden="1" customHeight="1" x14ac:dyDescent="0.35">
      <c r="A3" s="269"/>
      <c r="B3" s="269"/>
      <c r="C3" s="269"/>
      <c r="D3" s="269"/>
      <c r="E3" s="269"/>
      <c r="F3" s="269"/>
      <c r="G3" s="269"/>
      <c r="H3" s="269"/>
      <c r="I3" s="269"/>
      <c r="J3" s="269"/>
      <c r="K3" s="269"/>
    </row>
    <row r="4" spans="1:13" ht="5.25" customHeight="1" x14ac:dyDescent="0.35"/>
    <row r="5" spans="1:13" ht="13.5" customHeight="1" x14ac:dyDescent="0.35">
      <c r="A5" s="34" t="s">
        <v>52</v>
      </c>
    </row>
    <row r="6" spans="1:13" ht="5.25" customHeight="1" thickBot="1" x14ac:dyDescent="0.4">
      <c r="A6" s="34"/>
    </row>
    <row r="7" spans="1:13" s="23" customFormat="1" ht="16.5" thickTop="1" thickBot="1" x14ac:dyDescent="0.4">
      <c r="A7" s="270" t="s">
        <v>44</v>
      </c>
      <c r="B7" s="270"/>
      <c r="C7" s="270"/>
      <c r="D7" s="270"/>
      <c r="E7" s="271" t="s">
        <v>29</v>
      </c>
      <c r="F7" s="272"/>
      <c r="G7" s="273"/>
      <c r="I7" s="36" t="s">
        <v>46</v>
      </c>
      <c r="J7" s="274" t="s">
        <v>248</v>
      </c>
      <c r="K7" s="275"/>
      <c r="M7" s="28"/>
    </row>
    <row r="8" spans="1:13" ht="5.25" customHeight="1" thickTop="1" thickBot="1" x14ac:dyDescent="0.4"/>
    <row r="9" spans="1:13" ht="18.5" thickTop="1" thickBot="1" x14ac:dyDescent="0.4">
      <c r="H9" s="267" t="s">
        <v>53</v>
      </c>
      <c r="I9" s="268"/>
      <c r="J9" s="276">
        <v>46517</v>
      </c>
      <c r="K9" s="277"/>
    </row>
    <row r="10" spans="1:13" ht="18.5" thickTop="1" thickBot="1" x14ac:dyDescent="0.4">
      <c r="J10" s="45"/>
      <c r="K10" s="37"/>
    </row>
    <row r="11" spans="1:13" s="3" customFormat="1" ht="16.5" thickTop="1" thickBot="1" x14ac:dyDescent="0.4">
      <c r="A11" s="270" t="s">
        <v>45</v>
      </c>
      <c r="B11" s="270"/>
      <c r="C11" s="270"/>
      <c r="D11" s="271" t="s">
        <v>201</v>
      </c>
      <c r="E11" s="272"/>
      <c r="F11" s="272"/>
      <c r="G11" s="273"/>
      <c r="H11" s="23"/>
      <c r="I11" s="31" t="s">
        <v>47</v>
      </c>
      <c r="J11" s="271"/>
      <c r="K11" s="273"/>
      <c r="L11" s="23"/>
      <c r="M11" s="23"/>
    </row>
    <row r="12" spans="1:13" s="4" customFormat="1" ht="16.5" thickTop="1" thickBot="1" x14ac:dyDescent="0.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s="25" customFormat="1" ht="16.5" thickTop="1" thickBot="1" x14ac:dyDescent="0.4">
      <c r="A13" s="52" t="s">
        <v>76</v>
      </c>
      <c r="B13" s="46"/>
      <c r="C13" s="35">
        <v>3000000</v>
      </c>
      <c r="D13" s="267" t="s">
        <v>49</v>
      </c>
      <c r="E13" s="267"/>
      <c r="F13" s="32">
        <v>18</v>
      </c>
      <c r="G13" s="30" t="s">
        <v>48</v>
      </c>
      <c r="H13" s="278" t="s">
        <v>57</v>
      </c>
      <c r="I13" s="279"/>
      <c r="J13" s="33">
        <f>IF(C13&lt;1000000,F13*1.5%,F13%)</f>
        <v>0.18</v>
      </c>
      <c r="K13" s="24"/>
      <c r="L13" s="24"/>
      <c r="M13" s="24"/>
    </row>
    <row r="14" spans="1:13" s="4" customFormat="1" ht="16.5" thickTop="1" thickBot="1" x14ac:dyDescent="0.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s="3" customFormat="1" ht="16.5" thickTop="1" thickBot="1" x14ac:dyDescent="0.4">
      <c r="A15" s="23"/>
      <c r="B15" s="23"/>
      <c r="C15" s="23"/>
      <c r="D15" s="23"/>
      <c r="E15" s="23"/>
      <c r="F15" s="23"/>
      <c r="G15" s="23"/>
      <c r="H15" s="267" t="s">
        <v>26</v>
      </c>
      <c r="I15" s="268"/>
      <c r="J15" s="27">
        <f>C13*J13</f>
        <v>540000</v>
      </c>
      <c r="K15" s="23"/>
      <c r="L15" s="23"/>
      <c r="M15" s="23"/>
    </row>
    <row r="16" spans="1:13" s="4" customFormat="1" ht="16.5" thickTop="1" thickBot="1" x14ac:dyDescent="0.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s="4" customFormat="1" ht="18.75" customHeight="1" thickTop="1" thickBot="1" x14ac:dyDescent="0.4">
      <c r="A17" s="280" t="s">
        <v>51</v>
      </c>
      <c r="B17" s="280"/>
      <c r="C17" s="280"/>
      <c r="D17" s="280"/>
      <c r="E17" s="280"/>
      <c r="F17" s="15"/>
      <c r="G17" s="282" t="s">
        <v>73</v>
      </c>
      <c r="H17" s="282"/>
      <c r="I17" s="283"/>
      <c r="J17" s="51">
        <f>C13+J15</f>
        <v>3540000</v>
      </c>
      <c r="K17" s="15"/>
      <c r="L17" s="15"/>
      <c r="M17" s="15"/>
    </row>
    <row r="18" spans="1:13" s="4" customFormat="1" ht="13.5" customHeight="1" thickTop="1" thickBot="1" x14ac:dyDescent="0.4">
      <c r="A18" s="281"/>
      <c r="B18" s="281"/>
      <c r="C18" s="281"/>
      <c r="D18" s="281"/>
      <c r="E18" s="281"/>
      <c r="F18" s="15"/>
      <c r="G18" s="15"/>
      <c r="H18" s="15"/>
      <c r="I18" s="15"/>
      <c r="J18" s="15"/>
      <c r="K18" s="15"/>
      <c r="L18" s="15"/>
      <c r="M18" s="15"/>
    </row>
    <row r="19" spans="1:13" s="4" customFormat="1" ht="42.75" customHeight="1" thickTop="1" thickBot="1" x14ac:dyDescent="0.45">
      <c r="A19" s="284" t="s">
        <v>196</v>
      </c>
      <c r="B19" s="285"/>
      <c r="C19" s="38" t="s">
        <v>54</v>
      </c>
      <c r="D19" s="39" t="s">
        <v>55</v>
      </c>
      <c r="E19" s="40" t="s">
        <v>56</v>
      </c>
      <c r="F19" s="15"/>
      <c r="G19" s="26"/>
      <c r="H19" s="15"/>
      <c r="I19" s="15"/>
      <c r="J19" s="15"/>
      <c r="K19" s="15"/>
      <c r="L19" s="15"/>
      <c r="M19" s="15"/>
    </row>
    <row r="20" spans="1:13" s="4" customFormat="1" ht="16" thickBot="1" x14ac:dyDescent="0.4">
      <c r="A20" s="286">
        <v>45931</v>
      </c>
      <c r="B20" s="287"/>
      <c r="C20" s="41"/>
      <c r="D20" s="44"/>
      <c r="E20" s="43">
        <f t="shared" ref="E20:E39" si="0">C20-D20</f>
        <v>0</v>
      </c>
      <c r="F20" s="15"/>
      <c r="G20" s="15"/>
      <c r="H20" s="15"/>
      <c r="I20" s="15"/>
      <c r="J20" s="15"/>
      <c r="K20" s="15"/>
      <c r="L20" s="15"/>
      <c r="M20" s="15"/>
    </row>
    <row r="21" spans="1:13" s="4" customFormat="1" ht="16" thickBot="1" x14ac:dyDescent="0.4">
      <c r="A21" s="286">
        <v>45962</v>
      </c>
      <c r="B21" s="287"/>
      <c r="C21" s="41"/>
      <c r="D21" s="44"/>
      <c r="E21" s="43">
        <f t="shared" si="0"/>
        <v>0</v>
      </c>
      <c r="F21" s="15"/>
      <c r="G21" s="15"/>
      <c r="H21" s="15"/>
      <c r="I21" s="15"/>
      <c r="J21" s="15"/>
      <c r="K21" s="15"/>
      <c r="L21" s="15"/>
      <c r="M21" s="15"/>
    </row>
    <row r="22" spans="1:13" s="4" customFormat="1" ht="16" thickBot="1" x14ac:dyDescent="0.4">
      <c r="A22" s="286">
        <v>45992</v>
      </c>
      <c r="B22" s="287"/>
      <c r="C22" s="41">
        <f t="shared" ref="C22:C39" si="1">J$17/F$13</f>
        <v>196666.66666666666</v>
      </c>
      <c r="D22" s="44"/>
      <c r="E22" s="43">
        <f t="shared" si="0"/>
        <v>196666.66666666666</v>
      </c>
      <c r="F22" s="15"/>
      <c r="G22" s="15"/>
      <c r="H22" s="15"/>
      <c r="I22" s="15"/>
      <c r="J22" s="15"/>
      <c r="K22" s="15"/>
      <c r="L22" s="15"/>
      <c r="M22" s="15"/>
    </row>
    <row r="23" spans="1:13" s="4" customFormat="1" ht="16" thickBot="1" x14ac:dyDescent="0.4">
      <c r="A23" s="286">
        <v>46023</v>
      </c>
      <c r="B23" s="287"/>
      <c r="C23" s="41">
        <f t="shared" si="1"/>
        <v>196666.66666666666</v>
      </c>
      <c r="D23" s="44"/>
      <c r="E23" s="43">
        <f t="shared" si="0"/>
        <v>196666.66666666666</v>
      </c>
      <c r="F23" s="15"/>
      <c r="G23" s="15"/>
      <c r="H23" s="15"/>
      <c r="I23" s="15"/>
      <c r="J23" s="15"/>
      <c r="K23" s="15"/>
      <c r="L23" s="15"/>
      <c r="M23" s="15"/>
    </row>
    <row r="24" spans="1:13" s="4" customFormat="1" ht="16" thickBot="1" x14ac:dyDescent="0.4">
      <c r="A24" s="286">
        <v>46054</v>
      </c>
      <c r="B24" s="287"/>
      <c r="C24" s="41">
        <f t="shared" ref="C24:C31" si="2">J$17/F$13</f>
        <v>196666.66666666666</v>
      </c>
      <c r="D24" s="44"/>
      <c r="E24" s="43">
        <f t="shared" ref="E24:E31" si="3">C24-D24</f>
        <v>196666.66666666666</v>
      </c>
      <c r="F24" s="15"/>
      <c r="G24" s="15"/>
      <c r="H24" s="15"/>
      <c r="I24" s="15"/>
      <c r="J24" s="15"/>
      <c r="K24" s="15"/>
      <c r="L24" s="15"/>
      <c r="M24" s="15"/>
    </row>
    <row r="25" spans="1:13" s="4" customFormat="1" ht="16" thickBot="1" x14ac:dyDescent="0.4">
      <c r="A25" s="286">
        <v>46082</v>
      </c>
      <c r="B25" s="287"/>
      <c r="C25" s="41">
        <f t="shared" si="2"/>
        <v>196666.66666666666</v>
      </c>
      <c r="D25" s="44"/>
      <c r="E25" s="43">
        <f t="shared" si="3"/>
        <v>196666.66666666666</v>
      </c>
      <c r="F25" s="15"/>
      <c r="G25" s="15"/>
      <c r="H25" s="15"/>
      <c r="I25" s="15"/>
      <c r="J25" s="15"/>
      <c r="K25" s="15"/>
      <c r="L25" s="15"/>
      <c r="M25" s="15"/>
    </row>
    <row r="26" spans="1:13" s="4" customFormat="1" ht="16" thickBot="1" x14ac:dyDescent="0.4">
      <c r="A26" s="286">
        <v>46113</v>
      </c>
      <c r="B26" s="287"/>
      <c r="C26" s="41">
        <f t="shared" si="2"/>
        <v>196666.66666666666</v>
      </c>
      <c r="D26" s="44"/>
      <c r="E26" s="43">
        <f t="shared" si="3"/>
        <v>196666.66666666666</v>
      </c>
      <c r="F26" s="15"/>
      <c r="G26" s="15"/>
      <c r="H26" s="15"/>
      <c r="I26" s="15"/>
      <c r="J26" s="15"/>
      <c r="K26" s="15"/>
      <c r="L26" s="15"/>
      <c r="M26" s="15"/>
    </row>
    <row r="27" spans="1:13" s="4" customFormat="1" ht="16" thickBot="1" x14ac:dyDescent="0.4">
      <c r="A27" s="286">
        <v>46143</v>
      </c>
      <c r="B27" s="287"/>
      <c r="C27" s="41">
        <f t="shared" si="2"/>
        <v>196666.66666666666</v>
      </c>
      <c r="D27" s="44"/>
      <c r="E27" s="43">
        <f t="shared" si="3"/>
        <v>196666.66666666666</v>
      </c>
      <c r="F27" s="15"/>
      <c r="G27" s="15"/>
      <c r="H27" s="15"/>
      <c r="I27" s="15"/>
      <c r="J27" s="15"/>
      <c r="K27" s="15"/>
      <c r="L27" s="15"/>
      <c r="M27" s="15"/>
    </row>
    <row r="28" spans="1:13" s="4" customFormat="1" ht="16" thickBot="1" x14ac:dyDescent="0.4">
      <c r="A28" s="286">
        <v>46174</v>
      </c>
      <c r="B28" s="287"/>
      <c r="C28" s="41">
        <f t="shared" si="2"/>
        <v>196666.66666666666</v>
      </c>
      <c r="D28" s="44"/>
      <c r="E28" s="43">
        <f t="shared" si="3"/>
        <v>196666.66666666666</v>
      </c>
      <c r="F28" s="15"/>
      <c r="G28" s="15"/>
      <c r="H28" s="15"/>
      <c r="I28" s="15"/>
      <c r="J28" s="15"/>
      <c r="K28" s="15"/>
      <c r="L28" s="15"/>
      <c r="M28" s="15"/>
    </row>
    <row r="29" spans="1:13" s="4" customFormat="1" ht="16" thickBot="1" x14ac:dyDescent="0.4">
      <c r="A29" s="286">
        <v>46204</v>
      </c>
      <c r="B29" s="287"/>
      <c r="C29" s="41">
        <f t="shared" si="2"/>
        <v>196666.66666666666</v>
      </c>
      <c r="D29" s="44"/>
      <c r="E29" s="43">
        <f t="shared" si="3"/>
        <v>196666.66666666666</v>
      </c>
      <c r="F29" s="15"/>
      <c r="G29" s="15"/>
      <c r="H29" s="15"/>
      <c r="I29" s="15"/>
      <c r="J29" s="15"/>
      <c r="K29" s="15"/>
      <c r="L29" s="15"/>
      <c r="M29" s="15"/>
    </row>
    <row r="30" spans="1:13" s="4" customFormat="1" ht="16" thickBot="1" x14ac:dyDescent="0.4">
      <c r="A30" s="286">
        <v>46235</v>
      </c>
      <c r="B30" s="287"/>
      <c r="C30" s="41">
        <f t="shared" si="2"/>
        <v>196666.66666666666</v>
      </c>
      <c r="D30" s="44"/>
      <c r="E30" s="43">
        <f t="shared" si="3"/>
        <v>196666.66666666666</v>
      </c>
      <c r="F30" s="15"/>
      <c r="G30" s="15"/>
      <c r="H30" s="15"/>
      <c r="I30" s="15"/>
      <c r="J30" s="15"/>
      <c r="K30" s="15"/>
      <c r="L30" s="15"/>
      <c r="M30" s="15"/>
    </row>
    <row r="31" spans="1:13" s="4" customFormat="1" ht="16" thickBot="1" x14ac:dyDescent="0.4">
      <c r="A31" s="286">
        <v>46266</v>
      </c>
      <c r="B31" s="287"/>
      <c r="C31" s="41">
        <f t="shared" si="2"/>
        <v>196666.66666666666</v>
      </c>
      <c r="D31" s="44"/>
      <c r="E31" s="43">
        <f t="shared" si="3"/>
        <v>196666.66666666666</v>
      </c>
      <c r="F31" s="15"/>
      <c r="G31" s="15"/>
      <c r="H31" s="15"/>
      <c r="I31" s="15"/>
      <c r="J31" s="15"/>
      <c r="K31" s="15"/>
      <c r="L31" s="15"/>
      <c r="M31" s="15"/>
    </row>
    <row r="32" spans="1:13" s="4" customFormat="1" ht="16" thickBot="1" x14ac:dyDescent="0.4">
      <c r="A32" s="286">
        <v>46296</v>
      </c>
      <c r="B32" s="287"/>
      <c r="C32" s="41">
        <f t="shared" si="1"/>
        <v>196666.66666666666</v>
      </c>
      <c r="D32" s="44"/>
      <c r="E32" s="43">
        <f t="shared" si="0"/>
        <v>196666.66666666666</v>
      </c>
      <c r="F32" s="15"/>
      <c r="G32" s="15"/>
      <c r="H32" s="15"/>
      <c r="I32" s="15"/>
      <c r="J32" s="15"/>
      <c r="K32" s="15"/>
      <c r="L32" s="15"/>
      <c r="M32" s="15"/>
    </row>
    <row r="33" spans="1:13" s="4" customFormat="1" ht="16" thickBot="1" x14ac:dyDescent="0.4">
      <c r="A33" s="286">
        <v>46327</v>
      </c>
      <c r="B33" s="287"/>
      <c r="C33" s="41">
        <f t="shared" si="1"/>
        <v>196666.66666666666</v>
      </c>
      <c r="D33" s="44"/>
      <c r="E33" s="43">
        <f t="shared" si="0"/>
        <v>196666.66666666666</v>
      </c>
      <c r="F33" s="15"/>
      <c r="G33" s="15"/>
      <c r="H33" s="15"/>
      <c r="I33" s="15"/>
      <c r="J33" s="15"/>
      <c r="K33" s="15"/>
      <c r="L33" s="15"/>
      <c r="M33" s="15"/>
    </row>
    <row r="34" spans="1:13" s="4" customFormat="1" ht="16" thickBot="1" x14ac:dyDescent="0.4">
      <c r="A34" s="286">
        <v>46357</v>
      </c>
      <c r="B34" s="287"/>
      <c r="C34" s="41">
        <f t="shared" si="1"/>
        <v>196666.66666666666</v>
      </c>
      <c r="D34" s="44"/>
      <c r="E34" s="43">
        <f t="shared" si="0"/>
        <v>196666.66666666666</v>
      </c>
      <c r="F34" s="15"/>
      <c r="G34" s="15"/>
      <c r="H34" s="15"/>
      <c r="I34" s="15"/>
      <c r="J34" s="15"/>
      <c r="K34" s="15"/>
      <c r="L34" s="15"/>
      <c r="M34" s="15"/>
    </row>
    <row r="35" spans="1:13" s="4" customFormat="1" ht="16" thickBot="1" x14ac:dyDescent="0.4">
      <c r="A35" s="286">
        <v>46388</v>
      </c>
      <c r="B35" s="287"/>
      <c r="C35" s="41">
        <f t="shared" si="1"/>
        <v>196666.66666666666</v>
      </c>
      <c r="D35" s="44"/>
      <c r="E35" s="43">
        <f t="shared" si="0"/>
        <v>196666.66666666666</v>
      </c>
      <c r="F35" s="15"/>
      <c r="G35" s="15"/>
      <c r="H35" s="15"/>
      <c r="I35" s="15"/>
      <c r="J35" s="15"/>
      <c r="K35" s="15"/>
      <c r="L35" s="15"/>
      <c r="M35" s="15"/>
    </row>
    <row r="36" spans="1:13" s="4" customFormat="1" ht="16" thickBot="1" x14ac:dyDescent="0.4">
      <c r="A36" s="286">
        <v>46419</v>
      </c>
      <c r="B36" s="287"/>
      <c r="C36" s="41">
        <f t="shared" si="1"/>
        <v>196666.66666666666</v>
      </c>
      <c r="D36" s="44"/>
      <c r="E36" s="43">
        <f t="shared" si="0"/>
        <v>196666.66666666666</v>
      </c>
      <c r="F36" s="15"/>
      <c r="G36" s="15"/>
      <c r="H36" s="15"/>
      <c r="I36" s="15"/>
      <c r="J36" s="15"/>
      <c r="K36" s="15"/>
      <c r="L36" s="15"/>
      <c r="M36" s="15"/>
    </row>
    <row r="37" spans="1:13" s="4" customFormat="1" ht="16" thickBot="1" x14ac:dyDescent="0.4">
      <c r="A37" s="286">
        <v>46447</v>
      </c>
      <c r="B37" s="287"/>
      <c r="C37" s="41">
        <f t="shared" si="1"/>
        <v>196666.66666666666</v>
      </c>
      <c r="D37" s="44"/>
      <c r="E37" s="43">
        <f t="shared" si="0"/>
        <v>196666.66666666666</v>
      </c>
      <c r="F37" s="15"/>
      <c r="G37" s="15"/>
      <c r="H37" s="15"/>
      <c r="I37" s="15"/>
      <c r="J37" s="15"/>
      <c r="K37" s="15"/>
      <c r="L37" s="15"/>
      <c r="M37" s="15"/>
    </row>
    <row r="38" spans="1:13" s="4" customFormat="1" ht="16" thickBot="1" x14ac:dyDescent="0.4">
      <c r="A38" s="286">
        <v>46478</v>
      </c>
      <c r="B38" s="287"/>
      <c r="C38" s="41">
        <f t="shared" si="1"/>
        <v>196666.66666666666</v>
      </c>
      <c r="D38" s="44"/>
      <c r="E38" s="43">
        <f t="shared" si="0"/>
        <v>196666.66666666666</v>
      </c>
      <c r="F38" s="15"/>
      <c r="G38" s="15"/>
      <c r="H38" s="15"/>
      <c r="I38" s="15"/>
      <c r="J38" s="15"/>
      <c r="K38" s="15"/>
      <c r="L38" s="15"/>
      <c r="M38" s="15"/>
    </row>
    <row r="39" spans="1:13" s="4" customFormat="1" ht="16" thickBot="1" x14ac:dyDescent="0.4">
      <c r="A39" s="286">
        <v>46508</v>
      </c>
      <c r="B39" s="287"/>
      <c r="C39" s="41">
        <f t="shared" si="1"/>
        <v>196666.66666666666</v>
      </c>
      <c r="D39" s="44"/>
      <c r="E39" s="43">
        <f t="shared" si="0"/>
        <v>196666.66666666666</v>
      </c>
      <c r="F39" s="15"/>
      <c r="G39" s="15"/>
      <c r="H39" s="15"/>
      <c r="I39" s="15"/>
      <c r="J39" s="15"/>
      <c r="K39" s="15"/>
      <c r="L39" s="15"/>
      <c r="M39" s="15"/>
    </row>
    <row r="40" spans="1:13" s="3" customFormat="1" ht="20.25" customHeight="1" thickBot="1" x14ac:dyDescent="0.4">
      <c r="A40" s="288" t="s">
        <v>43</v>
      </c>
      <c r="B40" s="289"/>
      <c r="C40" s="29">
        <f>SUM(C20:C39)</f>
        <v>3539999.9999999991</v>
      </c>
      <c r="D40" s="29">
        <f>SUM(D20:D39)</f>
        <v>0</v>
      </c>
      <c r="E40" s="29">
        <f>SUM(E20:E39)</f>
        <v>3539999.9999999991</v>
      </c>
      <c r="F40" s="23"/>
      <c r="G40" s="23"/>
      <c r="H40" s="23"/>
      <c r="I40" s="23"/>
      <c r="J40" s="23"/>
      <c r="K40" s="23"/>
      <c r="L40" s="23"/>
      <c r="M40" s="23"/>
    </row>
    <row r="41" spans="1:13" s="4" customFormat="1" ht="16" thickTop="1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s="4" customFormat="1" ht="15.5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 s="4" customFormat="1" ht="15.5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s="4" customFormat="1" ht="15.5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s="4" customFormat="1" ht="15.5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s="4" customFormat="1" ht="15.5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s="4" customFormat="1" ht="15.5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s="4" customFormat="1" ht="15.5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s="4" customFormat="1" ht="15.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s="4" customFormat="1" ht="15.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s="4" customFormat="1" ht="15.5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s="4" customFormat="1" ht="15.5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s="4" customFormat="1" ht="15.5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s="4" customFormat="1" ht="15.5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s="4" customFormat="1" ht="15.5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 s="4" customFormat="1" ht="15.5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s="4" customFormat="1" ht="15.5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 s="4" customFormat="1" ht="15.5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s="4" customFormat="1" ht="15.5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s="4" customFormat="1" ht="15.5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s="4" customFormat="1" ht="15.5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 s="4" customFormat="1" ht="15.5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s="4" customFormat="1" ht="15.5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 s="4" customFormat="1" ht="15.5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s="4" customFormat="1" ht="15.5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s="4" customFormat="1" ht="15.5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s="4" customFormat="1" ht="15.5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s="4" customFormat="1" ht="15.5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s="4" customFormat="1" ht="15.5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s="4" customFormat="1" ht="15.5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s="4" customFormat="1" ht="15.5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s="4" customFormat="1" ht="15.5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s="4" customFormat="1" ht="15.5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s="4" customFormat="1" ht="15.5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 s="4" customFormat="1" ht="15.5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s="4" customFormat="1" ht="15.5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s="4" customFormat="1" ht="15.5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 s="4" customFormat="1" ht="15.5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s="4" customFormat="1" ht="15.5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s="4" customFormat="1" ht="15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s="4" customFormat="1" ht="15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s="4" customFormat="1" ht="15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 s="4" customFormat="1" ht="15.5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s="4" customFormat="1" ht="15.5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1:13" s="4" customFormat="1" ht="15.5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1:13" s="4" customFormat="1" ht="15.5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 s="4" customFormat="1" ht="15.5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 s="4" customFormat="1" ht="15.5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s="4" customFormat="1" ht="15.5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 s="4" customFormat="1" ht="15.5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 s="4" customFormat="1" ht="15.5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 s="4" customFormat="1" ht="15.5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 s="4" customFormat="1" ht="15.5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1:13" s="4" customFormat="1" ht="15.5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s="4" customFormat="1" ht="15.5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 s="4" customFormat="1" ht="15.5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s="4" customFormat="1" ht="15.5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s="4" customFormat="1" ht="15.5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1:13" s="4" customFormat="1" ht="15.5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 s="4" customFormat="1" ht="15.5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s="4" customFormat="1" ht="15.5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1:13" s="4" customFormat="1" ht="15.5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s="4" customFormat="1" ht="15.5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s="4" customFormat="1" ht="15.5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1:13" s="4" customFormat="1" ht="15.5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1:13" s="4" customFormat="1" ht="15.5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1:13" s="4" customFormat="1" ht="15.5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 s="4" customFormat="1" ht="15.5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1:13" s="4" customFormat="1" ht="15.5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s="4" customFormat="1" ht="15.5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1:13" s="4" customFormat="1" ht="15.5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 s="4" customFormat="1" ht="15.5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1:13" s="4" customFormat="1" ht="15.5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 s="4" customFormat="1" ht="15.5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 s="4" customFormat="1" ht="15.5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 s="4" customFormat="1" ht="15.5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 s="4" customFormat="1" ht="15.5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 s="4" customFormat="1" ht="15.5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 s="4" customFormat="1" ht="15.5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 s="4" customFormat="1" ht="15.5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 s="4" customFormat="1" ht="15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1:13" s="4" customFormat="1" ht="15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1:13" s="4" customFormat="1" ht="15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1:13" s="4" customFormat="1" ht="15.5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1:13" s="4" customFormat="1" ht="15.5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1:13" s="4" customFormat="1" ht="15.5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 s="4" customFormat="1" ht="15.5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1:13" s="4" customFormat="1" ht="15.5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s="4" customFormat="1" ht="15.5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3" s="4" customFormat="1" ht="15.5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1:13" s="4" customFormat="1" ht="15.5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 s="4" customFormat="1" ht="15.5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 s="4" customFormat="1" ht="15.5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 s="4" customFormat="1" ht="15.5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 s="4" customFormat="1" ht="15.5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 s="4" customFormat="1" ht="15.5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1:13" s="4" customFormat="1" ht="15.5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1:13" s="4" customFormat="1" ht="15.5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1:13" s="4" customFormat="1" ht="15.5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 s="4" customFormat="1" ht="15.5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1:13" s="4" customFormat="1" ht="15.5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 s="4" customFormat="1" ht="15.5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 s="4" customFormat="1" ht="15.5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1:13" s="4" customFormat="1" ht="15.5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1:13" s="4" customFormat="1" ht="15.5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 s="4" customFormat="1" ht="15.5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1:13" s="4" customFormat="1" ht="15.5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 s="4" customFormat="1" ht="15.5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1:13" s="4" customFormat="1" ht="15.5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1:13" s="4" customFormat="1" ht="15.5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 s="4" customFormat="1" ht="15.5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 s="4" customFormat="1" ht="15.5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s="4" customFormat="1" ht="15.5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 s="4" customFormat="1" ht="15.5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1:13" s="4" customFormat="1" ht="15.5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 s="4" customFormat="1" ht="15.5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spans="1:13" s="4" customFormat="1" ht="15.5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spans="1:13" s="4" customFormat="1" ht="15.5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spans="1:13" s="4" customFormat="1" ht="15.5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1:13" s="4" customFormat="1" ht="15.5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1:13" s="4" customFormat="1" ht="15.5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1:13" s="4" customFormat="1" ht="15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1:13" s="4" customFormat="1" ht="15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1:13" s="4" customFormat="1" ht="15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spans="1:13" s="4" customFormat="1" ht="15.5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1:13" s="4" customFormat="1" ht="15.5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1:13" s="4" customFormat="1" ht="15.5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spans="1:13" s="4" customFormat="1" ht="15.5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spans="1:13" s="4" customFormat="1" ht="15.5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spans="1:13" s="4" customFormat="1" ht="15.5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spans="1:13" s="4" customFormat="1" ht="15.5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spans="1:13" s="4" customFormat="1" ht="15.5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spans="1:13" s="4" customFormat="1" ht="15.5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spans="1:13" s="4" customFormat="1" ht="15.5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spans="1:13" s="4" customFormat="1" ht="15.5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spans="1:13" s="4" customFormat="1" ht="15.5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spans="1:13" s="4" customFormat="1" ht="15.5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1:13" s="4" customFormat="1" ht="15.5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spans="1:13" s="4" customFormat="1" ht="15.5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1:13" s="4" customFormat="1" ht="15.5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spans="1:13" s="4" customFormat="1" ht="15.5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1:13" s="4" customFormat="1" ht="15.5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spans="1:13" s="4" customFormat="1" ht="15.5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1:13" s="4" customFormat="1" ht="15.5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spans="1:13" s="4" customFormat="1" ht="15.5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spans="1:13" s="4" customFormat="1" ht="15.5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spans="1:13" s="4" customFormat="1" ht="15.5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1:13" s="4" customFormat="1" ht="15.5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spans="1:13" s="4" customFormat="1" ht="15.5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1:13" s="4" customFormat="1" ht="15.5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spans="1:13" s="4" customFormat="1" ht="15.5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spans="1:13" s="4" customFormat="1" ht="15.5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spans="1:13" s="4" customFormat="1" ht="15.5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spans="1:13" s="4" customFormat="1" ht="15.5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spans="1:13" s="4" customFormat="1" ht="15.5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1:13" s="4" customFormat="1" ht="15.5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spans="1:13" s="4" customFormat="1" ht="15.5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spans="1:13" s="4" customFormat="1" ht="15.5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1:13" s="4" customFormat="1" ht="15.5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1:13" s="4" customFormat="1" ht="15.5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1:13" s="4" customFormat="1" ht="15.5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spans="1:13" s="4" customFormat="1" ht="15.5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spans="1:13" s="4" customFormat="1" ht="15.5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  <row r="204" spans="1:13" s="4" customFormat="1" ht="15.5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</row>
    <row r="205" spans="1:13" s="4" customFormat="1" ht="15.5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</row>
    <row r="206" spans="1:13" s="4" customFormat="1" ht="15.5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1:13" s="4" customFormat="1" ht="15.5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spans="1:13" s="4" customFormat="1" ht="15.5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1:13" s="4" customFormat="1" ht="15.5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</row>
    <row r="210" spans="1:13" s="4" customFormat="1" ht="15.5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</row>
    <row r="211" spans="1:13" s="4" customFormat="1" ht="15.5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</row>
    <row r="212" spans="1:13" s="4" customFormat="1" ht="15.5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spans="1:13" s="4" customFormat="1" ht="15.5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</row>
    <row r="214" spans="1:13" s="4" customFormat="1" ht="15.5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spans="1:13" s="4" customFormat="1" ht="15.5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spans="1:13" s="4" customFormat="1" ht="15.5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spans="1:13" s="4" customFormat="1" ht="15.5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spans="1:13" s="4" customFormat="1" ht="15.5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spans="1:13" s="4" customFormat="1" ht="15.5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spans="1:13" s="4" customFormat="1" ht="15.5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spans="1:13" s="4" customFormat="1" ht="15.5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spans="1:13" s="4" customFormat="1" ht="15.5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spans="1:13" s="4" customFormat="1" ht="15.5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spans="1:13" s="4" customFormat="1" ht="15.5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5" spans="1:13" s="4" customFormat="1" ht="15.5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spans="1:13" s="4" customFormat="1" ht="15.5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27" spans="1:13" s="4" customFormat="1" ht="15.5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spans="1:13" s="4" customFormat="1" ht="15.5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spans="1:13" s="4" customFormat="1" ht="15.5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spans="1:13" s="4" customFormat="1" ht="15.5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</row>
    <row r="231" spans="1:13" s="4" customFormat="1" ht="15.5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</row>
    <row r="232" spans="1:13" s="4" customFormat="1" ht="15.5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</row>
    <row r="233" spans="1:13" s="4" customFormat="1" ht="15.5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</row>
    <row r="234" spans="1:13" s="4" customFormat="1" ht="15.5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spans="1:13" s="4" customFormat="1" ht="15.5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</row>
    <row r="236" spans="1:13" s="4" customFormat="1" ht="15.5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spans="1:13" s="4" customFormat="1" ht="15.5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</row>
    <row r="238" spans="1:13" s="4" customFormat="1" ht="15.5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spans="1:13" s="4" customFormat="1" ht="15.5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</row>
    <row r="240" spans="1:13" s="4" customFormat="1" ht="15.5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spans="1:13" s="4" customFormat="1" ht="15.5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</row>
    <row r="242" spans="1:13" s="4" customFormat="1" ht="15.5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3" spans="1:13" s="4" customFormat="1" ht="15.5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</row>
    <row r="244" spans="1:13" s="4" customFormat="1" ht="15.5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1:13" s="4" customFormat="1" ht="15.5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spans="1:13" s="4" customFormat="1" ht="15.5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spans="1:13" s="4" customFormat="1" ht="15.5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spans="1:13" s="4" customFormat="1" ht="15.5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spans="1:13" s="4" customFormat="1" ht="15.5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spans="1:13" s="4" customFormat="1" ht="15.5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</row>
    <row r="251" spans="1:13" s="4" customFormat="1" ht="15.5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spans="1:13" s="4" customFormat="1" ht="15.5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spans="1:13" s="4" customFormat="1" ht="15.5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</row>
    <row r="254" spans="1:13" s="4" customFormat="1" ht="15.5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spans="1:13" s="4" customFormat="1" ht="15.5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</row>
    <row r="256" spans="1:13" s="4" customFormat="1" ht="15.5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</row>
    <row r="257" spans="1:13" s="4" customFormat="1" ht="15.5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spans="1:13" s="4" customFormat="1" ht="15.5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</row>
    <row r="259" spans="1:13" s="4" customFormat="1" ht="15.5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spans="1:13" s="4" customFormat="1" ht="15.5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spans="1:13" s="4" customFormat="1" ht="15.5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spans="1:13" s="4" customFormat="1" ht="15.5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spans="1:13" s="4" customFormat="1" ht="15.5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spans="1:13" s="4" customFormat="1" ht="15.5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spans="1:13" s="4" customFormat="1" ht="15.5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spans="1:13" s="4" customFormat="1" ht="15.5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spans="1:13" s="4" customFormat="1" ht="15.5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</row>
    <row r="268" spans="1:13" s="4" customFormat="1" ht="15.5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spans="1:13" s="4" customFormat="1" ht="15.5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</row>
    <row r="270" spans="1:13" s="4" customFormat="1" ht="15.5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</row>
    <row r="271" spans="1:13" s="4" customFormat="1" ht="15.5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</row>
    <row r="272" spans="1:13" s="4" customFormat="1" ht="15.5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spans="1:13" s="4" customFormat="1" ht="15.5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spans="1:13" s="4" customFormat="1" ht="15.5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</row>
    <row r="275" spans="1:13" s="4" customFormat="1" ht="15.5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</row>
    <row r="276" spans="1:13" s="4" customFormat="1" ht="15.5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spans="1:13" s="4" customFormat="1" ht="15.5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 spans="1:13" s="4" customFormat="1" ht="15.5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 spans="1:13" s="4" customFormat="1" ht="15.5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 spans="1:13" s="4" customFormat="1" ht="15.5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spans="1:13" s="4" customFormat="1" ht="15.5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 spans="1:13" s="4" customFormat="1" ht="15.5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spans="1:13" s="4" customFormat="1" ht="15.5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spans="1:13" s="4" customFormat="1" ht="15.5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spans="1:13" s="4" customFormat="1" ht="15.5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spans="1:13" s="4" customFormat="1" ht="15.5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 spans="1:13" s="4" customFormat="1" ht="15.5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 spans="1:13" s="4" customFormat="1" ht="15.5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 spans="1:13" s="4" customFormat="1" ht="15.5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spans="1:13" s="4" customFormat="1" ht="15.5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 spans="1:13" s="4" customFormat="1" ht="15.5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 spans="1:13" s="4" customFormat="1" ht="15.5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 spans="1:13" s="4" customFormat="1" ht="15.5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spans="1:13" s="4" customFormat="1" ht="15.5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 spans="1:13" s="4" customFormat="1" ht="15.5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spans="1:13" s="4" customFormat="1" ht="15.5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 spans="1:13" s="4" customFormat="1" ht="15.5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spans="1:13" s="4" customFormat="1" ht="15.5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 spans="1:13" s="4" customFormat="1" ht="15.5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 spans="1:13" s="4" customFormat="1" ht="15.5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 spans="1:13" s="4" customFormat="1" ht="15.5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spans="1:13" s="4" customFormat="1" ht="15.5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spans="1:13" s="4" customFormat="1" ht="15.5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spans="1:13" s="4" customFormat="1" ht="15.5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 spans="1:13" s="4" customFormat="1" ht="15.5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 spans="1:13" s="4" customFormat="1" ht="15.5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 spans="1:13" s="4" customFormat="1" ht="15.5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 spans="1:13" s="4" customFormat="1" ht="15.5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 spans="1:13" s="4" customFormat="1" ht="15.5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spans="1:13" s="4" customFormat="1" ht="15.5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 spans="1:13" s="4" customFormat="1" ht="15.5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 spans="1:13" s="4" customFormat="1" ht="15.5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 spans="1:13" s="4" customFormat="1" ht="15.5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 spans="1:13" s="4" customFormat="1" ht="15.5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spans="1:13" s="4" customFormat="1" ht="15.5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 spans="1:13" s="4" customFormat="1" ht="15.5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 spans="1:13" s="4" customFormat="1" ht="15.5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 spans="1:13" s="4" customFormat="1" ht="15.5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 spans="1:13" s="4" customFormat="1" ht="15.5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 spans="1:13" s="4" customFormat="1" ht="15.5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spans="1:13" s="4" customFormat="1" ht="15.5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spans="1:13" s="4" customFormat="1" ht="15.5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spans="1:13" s="4" customFormat="1" ht="15.5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 spans="1:13" s="4" customFormat="1" ht="15.5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 spans="1:13" s="4" customFormat="1" ht="15.5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spans="1:13" s="4" customFormat="1" ht="15.5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 spans="1:13" s="4" customFormat="1" ht="15.5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 spans="1:13" s="4" customFormat="1" ht="15.5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spans="1:13" s="4" customFormat="1" ht="15.5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 spans="1:13" s="4" customFormat="1" ht="15.5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 spans="1:13" s="4" customFormat="1" ht="15.5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 spans="1:13" s="4" customFormat="1" ht="15.5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spans="1:13" s="4" customFormat="1" ht="15.5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 spans="1:13" s="4" customFormat="1" ht="15.5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spans="1:13" s="4" customFormat="1" ht="15.5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 spans="1:13" s="4" customFormat="1" ht="15.5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spans="1:13" s="4" customFormat="1" ht="15.5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 spans="1:13" s="4" customFormat="1" ht="15.5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 spans="1:13" s="4" customFormat="1" ht="15.5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spans="1:13" s="4" customFormat="1" ht="15.5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spans="1:13" s="4" customFormat="1" ht="15.5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spans="1:13" s="4" customFormat="1" ht="15.5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spans="1:13" s="4" customFormat="1" ht="15.5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 spans="1:13" s="4" customFormat="1" ht="15.5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 spans="1:13" s="4" customFormat="1" ht="15.5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spans="1:13" s="4" customFormat="1" ht="15.5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 spans="1:13" s="4" customFormat="1" ht="15.5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 spans="1:13" s="4" customFormat="1" ht="15.5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 spans="1:13" s="4" customFormat="1" ht="15.5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 spans="1:13" s="4" customFormat="1" ht="15.5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spans="1:13" s="4" customFormat="1" ht="15.5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 spans="1:13" s="4" customFormat="1" ht="15.5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 spans="1:13" s="4" customFormat="1" ht="15.5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 spans="1:13" s="4" customFormat="1" ht="15.5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 spans="1:13" s="4" customFormat="1" ht="15.5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 spans="1:13" s="4" customFormat="1" ht="15.5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 spans="1:13" s="4" customFormat="1" ht="15.5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 spans="1:13" s="4" customFormat="1" ht="15.5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spans="1:13" s="4" customFormat="1" ht="15.5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spans="1:13" s="4" customFormat="1" ht="15.5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spans="1:13" s="4" customFormat="1" ht="15.5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 spans="1:13" s="4" customFormat="1" ht="15.5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spans="1:13" s="4" customFormat="1" ht="15.5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 spans="1:13" s="4" customFormat="1" ht="15.5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 spans="1:13" s="4" customFormat="1" ht="15.5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 spans="1:13" s="4" customFormat="1" ht="15.5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 spans="1:13" s="4" customFormat="1" ht="15.5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 spans="1:13" s="4" customFormat="1" ht="15.5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 spans="1:13" s="4" customFormat="1" ht="15.5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 spans="1:13" s="4" customFormat="1" ht="15.5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spans="1:13" s="4" customFormat="1" ht="15.5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 spans="1:13" s="4" customFormat="1" ht="15.5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 spans="1:13" s="4" customFormat="1" ht="15.5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spans="1:13" s="4" customFormat="1" ht="15.5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spans="1:13" s="4" customFormat="1" ht="15.5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spans="1:13" s="4" customFormat="1" ht="15.5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 spans="1:13" s="4" customFormat="1" ht="15.5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spans="1:13" s="4" customFormat="1" ht="15.5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 spans="1:13" s="4" customFormat="1" ht="15.5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 spans="1:13" s="4" customFormat="1" ht="15.5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 spans="1:13" s="4" customFormat="1" ht="15.5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 spans="1:13" s="4" customFormat="1" ht="15.5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 spans="1:13" s="4" customFormat="1" ht="15.5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spans="1:13" s="4" customFormat="1" ht="15.5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 spans="1:13" s="4" customFormat="1" ht="15.5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 spans="1:13" s="4" customFormat="1" ht="15.5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  <row r="387" spans="1:13" s="4" customFormat="1" ht="15.5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</row>
    <row r="388" spans="1:13" s="4" customFormat="1" ht="15.5" x14ac:dyDescent="0.3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</row>
    <row r="389" spans="1:13" s="4" customFormat="1" ht="15.5" x14ac:dyDescent="0.3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</row>
    <row r="390" spans="1:13" s="4" customFormat="1" ht="15.5" x14ac:dyDescent="0.3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</row>
    <row r="391" spans="1:13" s="4" customFormat="1" ht="15.5" x14ac:dyDescent="0.3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</row>
    <row r="392" spans="1:13" s="4" customFormat="1" ht="15.5" x14ac:dyDescent="0.3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</row>
    <row r="393" spans="1:13" s="4" customFormat="1" ht="15.5" x14ac:dyDescent="0.3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</row>
    <row r="394" spans="1:13" s="4" customFormat="1" ht="15.5" x14ac:dyDescent="0.3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</row>
    <row r="395" spans="1:13" s="4" customFormat="1" ht="15.5" x14ac:dyDescent="0.3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</row>
    <row r="396" spans="1:13" s="4" customFormat="1" ht="15.5" x14ac:dyDescent="0.3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</row>
    <row r="397" spans="1:13" s="4" customFormat="1" ht="15.5" x14ac:dyDescent="0.3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</row>
    <row r="398" spans="1:13" s="4" customFormat="1" ht="15.5" x14ac:dyDescent="0.3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</row>
    <row r="399" spans="1:13" s="4" customFormat="1" ht="15.5" x14ac:dyDescent="0.3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</row>
    <row r="400" spans="1:13" s="4" customFormat="1" ht="15.5" x14ac:dyDescent="0.3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</row>
    <row r="401" spans="1:13" s="4" customFormat="1" ht="15.5" x14ac:dyDescent="0.3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</row>
  </sheetData>
  <mergeCells count="36">
    <mergeCell ref="A37:B37"/>
    <mergeCell ref="A38:B38"/>
    <mergeCell ref="A39:B39"/>
    <mergeCell ref="A40:B40"/>
    <mergeCell ref="A24:B24"/>
    <mergeCell ref="A25:B25"/>
    <mergeCell ref="A26:B26"/>
    <mergeCell ref="A27:B27"/>
    <mergeCell ref="A28:B28"/>
    <mergeCell ref="A29:B29"/>
    <mergeCell ref="A36:B36"/>
    <mergeCell ref="A23:B23"/>
    <mergeCell ref="A32:B32"/>
    <mergeCell ref="A33:B33"/>
    <mergeCell ref="A34:B34"/>
    <mergeCell ref="A35:B35"/>
    <mergeCell ref="A30:B30"/>
    <mergeCell ref="A31:B31"/>
    <mergeCell ref="A22:B22"/>
    <mergeCell ref="A11:C11"/>
    <mergeCell ref="D11:G11"/>
    <mergeCell ref="J11:K11"/>
    <mergeCell ref="D13:E13"/>
    <mergeCell ref="H13:I13"/>
    <mergeCell ref="H15:I15"/>
    <mergeCell ref="A17:E18"/>
    <mergeCell ref="G17:I17"/>
    <mergeCell ref="A19:B19"/>
    <mergeCell ref="A20:B20"/>
    <mergeCell ref="A21:B21"/>
    <mergeCell ref="A1:K3"/>
    <mergeCell ref="A7:D7"/>
    <mergeCell ref="E7:G7"/>
    <mergeCell ref="J7:K7"/>
    <mergeCell ref="H9:I9"/>
    <mergeCell ref="J9:K9"/>
  </mergeCells>
  <dataValidations count="2">
    <dataValidation type="list" allowBlank="1" showInputMessage="1" showErrorMessage="1" sqref="E7" xr:uid="{608CA80C-5A5E-480F-AA78-986B3DC5845A}">
      <formula1>secteur</formula1>
    </dataValidation>
    <dataValidation type="list" allowBlank="1" showInputMessage="1" showErrorMessage="1" sqref="J7:K7" xr:uid="{8D37B1BB-04ED-4E64-B296-14EEC1703BD2}">
      <formula1>mois_bon2</formula1>
    </dataValidation>
  </dataValidations>
  <pageMargins left="0.7" right="0.7" top="0.75" bottom="0.75" header="0.3" footer="0.3"/>
  <pageSetup paperSize="9" scale="65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9B27B-3E2C-4399-A975-6D08BCCEC666}">
  <sheetPr>
    <tabColor rgb="FF7030A0"/>
  </sheetPr>
  <dimension ref="A1:M393"/>
  <sheetViews>
    <sheetView showGridLines="0" topLeftCell="A7" workbookViewId="0">
      <selection activeCell="H50" activeCellId="1" sqref="F54 H50"/>
    </sheetView>
  </sheetViews>
  <sheetFormatPr baseColWidth="10" defaultRowHeight="17.5" x14ac:dyDescent="0.35"/>
  <cols>
    <col min="1" max="1" width="10.90625" style="8"/>
    <col min="2" max="2" width="11.81640625" style="8" customWidth="1"/>
    <col min="3" max="3" width="14.1796875" style="8" customWidth="1"/>
    <col min="4" max="5" width="10.90625" style="8"/>
    <col min="6" max="6" width="3.54296875" style="8" customWidth="1"/>
    <col min="7" max="8" width="10.90625" style="8"/>
    <col min="9" max="9" width="14.453125" style="8" customWidth="1"/>
    <col min="10" max="10" width="10.90625" style="8"/>
    <col min="11" max="11" width="15.26953125" style="8" bestFit="1" customWidth="1"/>
    <col min="12" max="13" width="10.90625" style="8"/>
  </cols>
  <sheetData>
    <row r="1" spans="1:13" ht="7.5" customHeight="1" x14ac:dyDescent="0.35">
      <c r="A1" s="269" t="s">
        <v>50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</row>
    <row r="2" spans="1:13" ht="13.5" customHeight="1" x14ac:dyDescent="0.35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</row>
    <row r="3" spans="1:13" ht="15" hidden="1" customHeight="1" x14ac:dyDescent="0.35">
      <c r="A3" s="269"/>
      <c r="B3" s="269"/>
      <c r="C3" s="269"/>
      <c r="D3" s="269"/>
      <c r="E3" s="269"/>
      <c r="F3" s="269"/>
      <c r="G3" s="269"/>
      <c r="H3" s="269"/>
      <c r="I3" s="269"/>
      <c r="J3" s="269"/>
      <c r="K3" s="269"/>
    </row>
    <row r="4" spans="1:13" ht="5.25" customHeight="1" x14ac:dyDescent="0.35"/>
    <row r="5" spans="1:13" ht="13.5" customHeight="1" x14ac:dyDescent="0.35">
      <c r="A5" s="34" t="s">
        <v>52</v>
      </c>
    </row>
    <row r="6" spans="1:13" ht="5.25" customHeight="1" thickBot="1" x14ac:dyDescent="0.4">
      <c r="A6" s="34"/>
    </row>
    <row r="7" spans="1:13" s="23" customFormat="1" ht="16.5" thickTop="1" thickBot="1" x14ac:dyDescent="0.4">
      <c r="A7" s="270" t="s">
        <v>44</v>
      </c>
      <c r="B7" s="270"/>
      <c r="C7" s="270"/>
      <c r="D7" s="270"/>
      <c r="E7" s="271" t="s">
        <v>27</v>
      </c>
      <c r="F7" s="272"/>
      <c r="G7" s="273"/>
      <c r="I7" s="36" t="s">
        <v>46</v>
      </c>
      <c r="J7" s="274" t="s">
        <v>241</v>
      </c>
      <c r="K7" s="275"/>
      <c r="M7" s="28"/>
    </row>
    <row r="8" spans="1:13" ht="5.25" customHeight="1" thickTop="1" thickBot="1" x14ac:dyDescent="0.4"/>
    <row r="9" spans="1:13" ht="18.5" thickTop="1" thickBot="1" x14ac:dyDescent="0.4">
      <c r="H9" s="267" t="s">
        <v>53</v>
      </c>
      <c r="I9" s="268"/>
      <c r="J9" s="276">
        <v>46213</v>
      </c>
      <c r="K9" s="277"/>
    </row>
    <row r="10" spans="1:13" ht="18.5" thickTop="1" thickBot="1" x14ac:dyDescent="0.4">
      <c r="J10" s="45"/>
      <c r="K10" s="37"/>
    </row>
    <row r="11" spans="1:13" s="3" customFormat="1" ht="16.5" thickTop="1" thickBot="1" x14ac:dyDescent="0.4">
      <c r="A11" s="270" t="s">
        <v>45</v>
      </c>
      <c r="B11" s="270"/>
      <c r="C11" s="270"/>
      <c r="D11" s="271" t="s">
        <v>208</v>
      </c>
      <c r="E11" s="272"/>
      <c r="F11" s="272"/>
      <c r="G11" s="273"/>
      <c r="H11" s="23"/>
      <c r="I11" s="31" t="s">
        <v>47</v>
      </c>
      <c r="J11" s="271"/>
      <c r="K11" s="273"/>
      <c r="L11" s="23"/>
      <c r="M11" s="23"/>
    </row>
    <row r="12" spans="1:13" s="4" customFormat="1" ht="16.5" thickTop="1" thickBot="1" x14ac:dyDescent="0.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s="25" customFormat="1" ht="16.5" thickTop="1" thickBot="1" x14ac:dyDescent="0.4">
      <c r="A13" s="52" t="s">
        <v>76</v>
      </c>
      <c r="B13" s="46"/>
      <c r="C13" s="35">
        <v>1500000</v>
      </c>
      <c r="D13" s="267" t="s">
        <v>49</v>
      </c>
      <c r="E13" s="267"/>
      <c r="F13" s="32">
        <v>10</v>
      </c>
      <c r="G13" s="30" t="s">
        <v>48</v>
      </c>
      <c r="H13" s="278" t="s">
        <v>57</v>
      </c>
      <c r="I13" s="279"/>
      <c r="J13" s="33">
        <f>IF(C13&lt;1000000,F13*1.5%,F13%)</f>
        <v>0.1</v>
      </c>
      <c r="K13" s="24"/>
      <c r="L13" s="24"/>
      <c r="M13" s="24"/>
    </row>
    <row r="14" spans="1:13" s="4" customFormat="1" ht="16.5" thickTop="1" thickBot="1" x14ac:dyDescent="0.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s="3" customFormat="1" ht="16.5" thickTop="1" thickBot="1" x14ac:dyDescent="0.4">
      <c r="A15" s="23"/>
      <c r="B15" s="23"/>
      <c r="C15" s="23"/>
      <c r="D15" s="23"/>
      <c r="E15" s="23"/>
      <c r="F15" s="23"/>
      <c r="G15" s="23"/>
      <c r="H15" s="267" t="s">
        <v>26</v>
      </c>
      <c r="I15" s="268"/>
      <c r="J15" s="27">
        <f>C13*J13</f>
        <v>150000</v>
      </c>
      <c r="K15" s="23"/>
      <c r="L15" s="23"/>
      <c r="M15" s="23"/>
    </row>
    <row r="16" spans="1:13" s="4" customFormat="1" ht="16.5" thickTop="1" thickBot="1" x14ac:dyDescent="0.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s="4" customFormat="1" ht="18.75" customHeight="1" thickTop="1" thickBot="1" x14ac:dyDescent="0.4">
      <c r="A17" s="280" t="s">
        <v>51</v>
      </c>
      <c r="B17" s="280"/>
      <c r="C17" s="280"/>
      <c r="D17" s="280"/>
      <c r="E17" s="280"/>
      <c r="F17" s="15"/>
      <c r="G17" s="282" t="s">
        <v>73</v>
      </c>
      <c r="H17" s="282"/>
      <c r="I17" s="283"/>
      <c r="J17" s="51">
        <f>C13+J15</f>
        <v>1650000</v>
      </c>
      <c r="K17" s="15"/>
      <c r="L17" s="15"/>
      <c r="M17" s="15"/>
    </row>
    <row r="18" spans="1:13" s="4" customFormat="1" ht="13.5" customHeight="1" thickTop="1" thickBot="1" x14ac:dyDescent="0.4">
      <c r="A18" s="281"/>
      <c r="B18" s="281"/>
      <c r="C18" s="281"/>
      <c r="D18" s="281"/>
      <c r="E18" s="281"/>
      <c r="F18" s="15"/>
      <c r="G18" s="15"/>
      <c r="H18" s="15"/>
      <c r="I18" s="15"/>
      <c r="J18" s="15"/>
      <c r="K18" s="15"/>
      <c r="L18" s="15"/>
      <c r="M18" s="15"/>
    </row>
    <row r="19" spans="1:13" s="4" customFormat="1" ht="42.75" customHeight="1" thickTop="1" thickBot="1" x14ac:dyDescent="0.45">
      <c r="A19" s="284" t="s">
        <v>196</v>
      </c>
      <c r="B19" s="285"/>
      <c r="C19" s="38" t="s">
        <v>54</v>
      </c>
      <c r="D19" s="39" t="s">
        <v>55</v>
      </c>
      <c r="E19" s="40" t="s">
        <v>56</v>
      </c>
      <c r="F19" s="15"/>
      <c r="G19" s="26"/>
      <c r="H19" s="15"/>
      <c r="I19" s="15"/>
      <c r="J19" s="15"/>
      <c r="K19" s="15"/>
      <c r="L19" s="15"/>
      <c r="M19" s="15"/>
    </row>
    <row r="20" spans="1:13" s="4" customFormat="1" ht="16" thickBot="1" x14ac:dyDescent="0.4">
      <c r="A20" s="286">
        <v>45870</v>
      </c>
      <c r="B20" s="287"/>
      <c r="C20" s="41"/>
      <c r="D20" s="44"/>
      <c r="E20" s="43">
        <f t="shared" ref="E20:E29" si="0">C20-D20</f>
        <v>0</v>
      </c>
      <c r="F20" s="15"/>
      <c r="G20" s="15"/>
      <c r="H20" s="15"/>
      <c r="I20" s="15"/>
      <c r="J20" s="15"/>
      <c r="K20" s="15"/>
      <c r="L20" s="15"/>
      <c r="M20" s="15"/>
    </row>
    <row r="21" spans="1:13" s="4" customFormat="1" ht="16" thickBot="1" x14ac:dyDescent="0.4">
      <c r="A21" s="286">
        <v>45901</v>
      </c>
      <c r="B21" s="287"/>
      <c r="C21" s="41"/>
      <c r="D21" s="44"/>
      <c r="E21" s="43">
        <f t="shared" si="0"/>
        <v>0</v>
      </c>
      <c r="F21" s="15"/>
      <c r="G21" s="15"/>
      <c r="H21" s="15"/>
      <c r="I21" s="15"/>
      <c r="J21" s="15"/>
      <c r="K21" s="15"/>
      <c r="L21" s="15"/>
      <c r="M21" s="15"/>
    </row>
    <row r="22" spans="1:13" s="4" customFormat="1" ht="16" thickBot="1" x14ac:dyDescent="0.4">
      <c r="A22" s="286">
        <v>45931</v>
      </c>
      <c r="B22" s="287"/>
      <c r="C22" s="41">
        <f t="shared" ref="C22:C29" si="1">J$17/F$13</f>
        <v>165000</v>
      </c>
      <c r="D22" s="44"/>
      <c r="E22" s="43">
        <f t="shared" si="0"/>
        <v>165000</v>
      </c>
      <c r="F22" s="15"/>
      <c r="G22" s="15"/>
      <c r="H22" s="15"/>
      <c r="I22" s="15"/>
      <c r="J22" s="15"/>
      <c r="K22" s="15"/>
      <c r="L22" s="15"/>
      <c r="M22" s="15"/>
    </row>
    <row r="23" spans="1:13" s="4" customFormat="1" ht="16" thickBot="1" x14ac:dyDescent="0.4">
      <c r="A23" s="286">
        <v>45962</v>
      </c>
      <c r="B23" s="287"/>
      <c r="C23" s="41">
        <f t="shared" si="1"/>
        <v>165000</v>
      </c>
      <c r="D23" s="44"/>
      <c r="E23" s="43">
        <f t="shared" si="0"/>
        <v>165000</v>
      </c>
      <c r="F23" s="15"/>
      <c r="G23" s="15"/>
      <c r="H23" s="15"/>
      <c r="I23" s="15"/>
      <c r="J23" s="15"/>
      <c r="K23" s="15"/>
      <c r="L23" s="15"/>
      <c r="M23" s="15"/>
    </row>
    <row r="24" spans="1:13" s="4" customFormat="1" ht="16" thickBot="1" x14ac:dyDescent="0.4">
      <c r="A24" s="286">
        <v>45992</v>
      </c>
      <c r="B24" s="287"/>
      <c r="C24" s="41">
        <f t="shared" si="1"/>
        <v>165000</v>
      </c>
      <c r="D24" s="44"/>
      <c r="E24" s="43">
        <f t="shared" si="0"/>
        <v>165000</v>
      </c>
      <c r="F24" s="15"/>
      <c r="G24" s="15"/>
      <c r="H24" s="15"/>
      <c r="I24" s="15"/>
      <c r="J24" s="15"/>
      <c r="K24" s="15"/>
      <c r="L24" s="15"/>
      <c r="M24" s="15"/>
    </row>
    <row r="25" spans="1:13" s="4" customFormat="1" ht="16" thickBot="1" x14ac:dyDescent="0.4">
      <c r="A25" s="286">
        <v>46023</v>
      </c>
      <c r="B25" s="287"/>
      <c r="C25" s="41">
        <f t="shared" si="1"/>
        <v>165000</v>
      </c>
      <c r="D25" s="44"/>
      <c r="E25" s="43">
        <f t="shared" si="0"/>
        <v>165000</v>
      </c>
      <c r="F25" s="15"/>
      <c r="G25" s="15"/>
      <c r="H25" s="15"/>
      <c r="I25" s="15"/>
      <c r="J25" s="15"/>
      <c r="K25" s="15"/>
      <c r="L25" s="15"/>
      <c r="M25" s="15"/>
    </row>
    <row r="26" spans="1:13" s="4" customFormat="1" ht="16" thickBot="1" x14ac:dyDescent="0.4">
      <c r="A26" s="286">
        <v>46054</v>
      </c>
      <c r="B26" s="287"/>
      <c r="C26" s="41">
        <f t="shared" si="1"/>
        <v>165000</v>
      </c>
      <c r="D26" s="44"/>
      <c r="E26" s="43">
        <f t="shared" si="0"/>
        <v>165000</v>
      </c>
      <c r="F26" s="15"/>
      <c r="G26" s="15"/>
      <c r="H26" s="15"/>
      <c r="I26" s="15"/>
      <c r="J26" s="15"/>
      <c r="K26" s="15"/>
      <c r="L26" s="15"/>
      <c r="M26" s="15"/>
    </row>
    <row r="27" spans="1:13" s="4" customFormat="1" ht="16" thickBot="1" x14ac:dyDescent="0.4">
      <c r="A27" s="286">
        <v>46082</v>
      </c>
      <c r="B27" s="287"/>
      <c r="C27" s="41">
        <f t="shared" si="1"/>
        <v>165000</v>
      </c>
      <c r="D27" s="44"/>
      <c r="E27" s="43">
        <f t="shared" si="0"/>
        <v>165000</v>
      </c>
      <c r="F27" s="15"/>
      <c r="G27" s="15"/>
      <c r="H27" s="15"/>
      <c r="I27" s="15"/>
      <c r="J27" s="15"/>
      <c r="K27" s="15"/>
      <c r="L27" s="15"/>
      <c r="M27" s="15"/>
    </row>
    <row r="28" spans="1:13" s="4" customFormat="1" ht="16" thickBot="1" x14ac:dyDescent="0.4">
      <c r="A28" s="286">
        <v>46113</v>
      </c>
      <c r="B28" s="287"/>
      <c r="C28" s="41">
        <f t="shared" si="1"/>
        <v>165000</v>
      </c>
      <c r="D28" s="44"/>
      <c r="E28" s="43">
        <f t="shared" si="0"/>
        <v>165000</v>
      </c>
      <c r="F28" s="15"/>
      <c r="G28" s="15"/>
      <c r="H28" s="15"/>
      <c r="I28" s="15"/>
      <c r="J28" s="15"/>
      <c r="K28" s="15"/>
      <c r="L28" s="15"/>
      <c r="M28" s="15"/>
    </row>
    <row r="29" spans="1:13" s="4" customFormat="1" ht="16" thickBot="1" x14ac:dyDescent="0.4">
      <c r="A29" s="286">
        <v>46143</v>
      </c>
      <c r="B29" s="287"/>
      <c r="C29" s="41">
        <f t="shared" si="1"/>
        <v>165000</v>
      </c>
      <c r="D29" s="44"/>
      <c r="E29" s="43">
        <f t="shared" si="0"/>
        <v>165000</v>
      </c>
      <c r="F29" s="15"/>
      <c r="G29" s="15"/>
      <c r="H29" s="15"/>
      <c r="I29" s="15"/>
      <c r="J29" s="15"/>
      <c r="K29" s="15"/>
      <c r="L29" s="15"/>
      <c r="M29" s="15"/>
    </row>
    <row r="30" spans="1:13" s="4" customFormat="1" ht="16" thickBot="1" x14ac:dyDescent="0.4">
      <c r="A30" s="286">
        <v>46174</v>
      </c>
      <c r="B30" s="287"/>
      <c r="C30" s="41">
        <f t="shared" ref="C30:C31" si="2">J$17/F$13</f>
        <v>165000</v>
      </c>
      <c r="D30" s="44"/>
      <c r="E30" s="43">
        <f t="shared" ref="E30:E31" si="3">C30-D30</f>
        <v>165000</v>
      </c>
      <c r="F30" s="15"/>
      <c r="G30" s="15"/>
      <c r="H30" s="15"/>
      <c r="I30" s="15"/>
      <c r="J30" s="15"/>
      <c r="K30" s="15"/>
      <c r="L30" s="15"/>
      <c r="M30" s="15"/>
    </row>
    <row r="31" spans="1:13" s="4" customFormat="1" ht="16" thickBot="1" x14ac:dyDescent="0.4">
      <c r="A31" s="286">
        <v>46204</v>
      </c>
      <c r="B31" s="287"/>
      <c r="C31" s="41">
        <f t="shared" si="2"/>
        <v>165000</v>
      </c>
      <c r="D31" s="44"/>
      <c r="E31" s="43">
        <f t="shared" si="3"/>
        <v>165000</v>
      </c>
      <c r="F31" s="15"/>
      <c r="G31" s="15"/>
      <c r="H31" s="15"/>
      <c r="I31" s="15"/>
      <c r="J31" s="15"/>
      <c r="K31" s="15"/>
      <c r="L31" s="15"/>
      <c r="M31" s="15"/>
    </row>
    <row r="32" spans="1:13" s="3" customFormat="1" ht="20.25" customHeight="1" thickBot="1" x14ac:dyDescent="0.4">
      <c r="A32" s="288" t="s">
        <v>43</v>
      </c>
      <c r="B32" s="289"/>
      <c r="C32" s="29">
        <f>SUM(C20:C31)</f>
        <v>1650000</v>
      </c>
      <c r="D32" s="29">
        <f>SUM(D20:D31)</f>
        <v>0</v>
      </c>
      <c r="E32" s="29">
        <f>SUM(E20:E31)</f>
        <v>1650000</v>
      </c>
      <c r="F32" s="23"/>
      <c r="G32" s="23"/>
      <c r="H32" s="23"/>
      <c r="I32" s="23"/>
      <c r="J32" s="23"/>
      <c r="K32" s="23"/>
      <c r="L32" s="23"/>
      <c r="M32" s="23"/>
    </row>
    <row r="33" spans="1:13" s="4" customFormat="1" ht="16" thickTop="1" x14ac:dyDescent="0.3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13" s="4" customFormat="1" ht="15.5" x14ac:dyDescent="0.3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1:13" s="4" customFormat="1" ht="15.5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 s="4" customFormat="1" ht="15.5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s="4" customFormat="1" ht="15.5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s="4" customFormat="1" ht="15.5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s="4" customFormat="1" ht="15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s="4" customFormat="1" ht="15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s="4" customFormat="1" ht="15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s="4" customFormat="1" ht="15.5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 s="4" customFormat="1" ht="15.5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s="4" customFormat="1" ht="15.5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s="4" customFormat="1" ht="15.5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s="4" customFormat="1" ht="15.5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s="4" customFormat="1" ht="15.5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s="4" customFormat="1" ht="15.5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s="4" customFormat="1" ht="15.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s="4" customFormat="1" ht="15.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s="4" customFormat="1" ht="15.5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s="4" customFormat="1" ht="15.5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s="4" customFormat="1" ht="15.5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s="4" customFormat="1" ht="15.5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s="4" customFormat="1" ht="15.5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 s="4" customFormat="1" ht="15.5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s="4" customFormat="1" ht="15.5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 s="4" customFormat="1" ht="15.5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s="4" customFormat="1" ht="15.5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s="4" customFormat="1" ht="15.5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s="4" customFormat="1" ht="15.5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 s="4" customFormat="1" ht="15.5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s="4" customFormat="1" ht="15.5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 s="4" customFormat="1" ht="15.5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s="4" customFormat="1" ht="15.5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s="4" customFormat="1" ht="15.5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s="4" customFormat="1" ht="15.5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s="4" customFormat="1" ht="15.5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s="4" customFormat="1" ht="15.5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s="4" customFormat="1" ht="15.5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s="4" customFormat="1" ht="15.5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s="4" customFormat="1" ht="15.5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s="4" customFormat="1" ht="15.5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s="4" customFormat="1" ht="15.5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 s="4" customFormat="1" ht="15.5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s="4" customFormat="1" ht="15.5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s="4" customFormat="1" ht="15.5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 s="4" customFormat="1" ht="15.5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s="4" customFormat="1" ht="15.5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s="4" customFormat="1" ht="15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s="4" customFormat="1" ht="15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s="4" customFormat="1" ht="15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 s="4" customFormat="1" ht="15.5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s="4" customFormat="1" ht="15.5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1:13" s="4" customFormat="1" ht="15.5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1:13" s="4" customFormat="1" ht="15.5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 s="4" customFormat="1" ht="15.5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 s="4" customFormat="1" ht="15.5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s="4" customFormat="1" ht="15.5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 s="4" customFormat="1" ht="15.5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 s="4" customFormat="1" ht="15.5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 s="4" customFormat="1" ht="15.5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 s="4" customFormat="1" ht="15.5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1:13" s="4" customFormat="1" ht="15.5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s="4" customFormat="1" ht="15.5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 s="4" customFormat="1" ht="15.5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s="4" customFormat="1" ht="15.5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s="4" customFormat="1" ht="15.5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1:13" s="4" customFormat="1" ht="15.5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 s="4" customFormat="1" ht="15.5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s="4" customFormat="1" ht="15.5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1:13" s="4" customFormat="1" ht="15.5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s="4" customFormat="1" ht="15.5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s="4" customFormat="1" ht="15.5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1:13" s="4" customFormat="1" ht="15.5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1:13" s="4" customFormat="1" ht="15.5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1:13" s="4" customFormat="1" ht="15.5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 s="4" customFormat="1" ht="15.5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1:13" s="4" customFormat="1" ht="15.5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s="4" customFormat="1" ht="15.5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1:13" s="4" customFormat="1" ht="15.5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 s="4" customFormat="1" ht="15.5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1:13" s="4" customFormat="1" ht="15.5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 s="4" customFormat="1" ht="15.5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 s="4" customFormat="1" ht="15.5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 s="4" customFormat="1" ht="15.5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 s="4" customFormat="1" ht="15.5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 s="4" customFormat="1" ht="15.5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 s="4" customFormat="1" ht="15.5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 s="4" customFormat="1" ht="15.5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 s="4" customFormat="1" ht="15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1:13" s="4" customFormat="1" ht="15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1:13" s="4" customFormat="1" ht="15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1:13" s="4" customFormat="1" ht="15.5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1:13" s="4" customFormat="1" ht="15.5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1:13" s="4" customFormat="1" ht="15.5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 s="4" customFormat="1" ht="15.5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1:13" s="4" customFormat="1" ht="15.5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s="4" customFormat="1" ht="15.5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3" s="4" customFormat="1" ht="15.5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1:13" s="4" customFormat="1" ht="15.5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 s="4" customFormat="1" ht="15.5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 s="4" customFormat="1" ht="15.5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 s="4" customFormat="1" ht="15.5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 s="4" customFormat="1" ht="15.5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 s="4" customFormat="1" ht="15.5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1:13" s="4" customFormat="1" ht="15.5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1:13" s="4" customFormat="1" ht="15.5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1:13" s="4" customFormat="1" ht="15.5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 s="4" customFormat="1" ht="15.5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1:13" s="4" customFormat="1" ht="15.5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 s="4" customFormat="1" ht="15.5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 s="4" customFormat="1" ht="15.5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1:13" s="4" customFormat="1" ht="15.5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1:13" s="4" customFormat="1" ht="15.5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 s="4" customFormat="1" ht="15.5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1:13" s="4" customFormat="1" ht="15.5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 s="4" customFormat="1" ht="15.5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1:13" s="4" customFormat="1" ht="15.5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1:13" s="4" customFormat="1" ht="15.5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 s="4" customFormat="1" ht="15.5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 s="4" customFormat="1" ht="15.5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s="4" customFormat="1" ht="15.5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 s="4" customFormat="1" ht="15.5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1:13" s="4" customFormat="1" ht="15.5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 s="4" customFormat="1" ht="15.5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spans="1:13" s="4" customFormat="1" ht="15.5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spans="1:13" s="4" customFormat="1" ht="15.5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spans="1:13" s="4" customFormat="1" ht="15.5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1:13" s="4" customFormat="1" ht="15.5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1:13" s="4" customFormat="1" ht="15.5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1:13" s="4" customFormat="1" ht="15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1:13" s="4" customFormat="1" ht="15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1:13" s="4" customFormat="1" ht="15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spans="1:13" s="4" customFormat="1" ht="15.5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1:13" s="4" customFormat="1" ht="15.5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1:13" s="4" customFormat="1" ht="15.5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spans="1:13" s="4" customFormat="1" ht="15.5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spans="1:13" s="4" customFormat="1" ht="15.5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spans="1:13" s="4" customFormat="1" ht="15.5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spans="1:13" s="4" customFormat="1" ht="15.5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spans="1:13" s="4" customFormat="1" ht="15.5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spans="1:13" s="4" customFormat="1" ht="15.5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spans="1:13" s="4" customFormat="1" ht="15.5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spans="1:13" s="4" customFormat="1" ht="15.5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spans="1:13" s="4" customFormat="1" ht="15.5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spans="1:13" s="4" customFormat="1" ht="15.5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1:13" s="4" customFormat="1" ht="15.5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spans="1:13" s="4" customFormat="1" ht="15.5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1:13" s="4" customFormat="1" ht="15.5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spans="1:13" s="4" customFormat="1" ht="15.5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1:13" s="4" customFormat="1" ht="15.5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spans="1:13" s="4" customFormat="1" ht="15.5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1:13" s="4" customFormat="1" ht="15.5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spans="1:13" s="4" customFormat="1" ht="15.5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spans="1:13" s="4" customFormat="1" ht="15.5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spans="1:13" s="4" customFormat="1" ht="15.5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1:13" s="4" customFormat="1" ht="15.5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spans="1:13" s="4" customFormat="1" ht="15.5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1:13" s="4" customFormat="1" ht="15.5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spans="1:13" s="4" customFormat="1" ht="15.5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spans="1:13" s="4" customFormat="1" ht="15.5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spans="1:13" s="4" customFormat="1" ht="15.5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spans="1:13" s="4" customFormat="1" ht="15.5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spans="1:13" s="4" customFormat="1" ht="15.5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1:13" s="4" customFormat="1" ht="15.5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spans="1:13" s="4" customFormat="1" ht="15.5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spans="1:13" s="4" customFormat="1" ht="15.5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1:13" s="4" customFormat="1" ht="15.5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1:13" s="4" customFormat="1" ht="15.5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1:13" s="4" customFormat="1" ht="15.5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spans="1:13" s="4" customFormat="1" ht="15.5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spans="1:13" s="4" customFormat="1" ht="15.5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  <row r="204" spans="1:13" s="4" customFormat="1" ht="15.5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</row>
    <row r="205" spans="1:13" s="4" customFormat="1" ht="15.5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</row>
    <row r="206" spans="1:13" s="4" customFormat="1" ht="15.5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1:13" s="4" customFormat="1" ht="15.5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spans="1:13" s="4" customFormat="1" ht="15.5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1:13" s="4" customFormat="1" ht="15.5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</row>
    <row r="210" spans="1:13" s="4" customFormat="1" ht="15.5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</row>
    <row r="211" spans="1:13" s="4" customFormat="1" ht="15.5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</row>
    <row r="212" spans="1:13" s="4" customFormat="1" ht="15.5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spans="1:13" s="4" customFormat="1" ht="15.5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</row>
    <row r="214" spans="1:13" s="4" customFormat="1" ht="15.5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spans="1:13" s="4" customFormat="1" ht="15.5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spans="1:13" s="4" customFormat="1" ht="15.5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spans="1:13" s="4" customFormat="1" ht="15.5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spans="1:13" s="4" customFormat="1" ht="15.5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spans="1:13" s="4" customFormat="1" ht="15.5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spans="1:13" s="4" customFormat="1" ht="15.5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spans="1:13" s="4" customFormat="1" ht="15.5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spans="1:13" s="4" customFormat="1" ht="15.5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spans="1:13" s="4" customFormat="1" ht="15.5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spans="1:13" s="4" customFormat="1" ht="15.5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5" spans="1:13" s="4" customFormat="1" ht="15.5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spans="1:13" s="4" customFormat="1" ht="15.5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27" spans="1:13" s="4" customFormat="1" ht="15.5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spans="1:13" s="4" customFormat="1" ht="15.5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spans="1:13" s="4" customFormat="1" ht="15.5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spans="1:13" s="4" customFormat="1" ht="15.5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</row>
    <row r="231" spans="1:13" s="4" customFormat="1" ht="15.5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</row>
    <row r="232" spans="1:13" s="4" customFormat="1" ht="15.5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</row>
    <row r="233" spans="1:13" s="4" customFormat="1" ht="15.5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</row>
    <row r="234" spans="1:13" s="4" customFormat="1" ht="15.5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spans="1:13" s="4" customFormat="1" ht="15.5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</row>
    <row r="236" spans="1:13" s="4" customFormat="1" ht="15.5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spans="1:13" s="4" customFormat="1" ht="15.5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</row>
    <row r="238" spans="1:13" s="4" customFormat="1" ht="15.5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spans="1:13" s="4" customFormat="1" ht="15.5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</row>
    <row r="240" spans="1:13" s="4" customFormat="1" ht="15.5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spans="1:13" s="4" customFormat="1" ht="15.5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</row>
    <row r="242" spans="1:13" s="4" customFormat="1" ht="15.5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3" spans="1:13" s="4" customFormat="1" ht="15.5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</row>
    <row r="244" spans="1:13" s="4" customFormat="1" ht="15.5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1:13" s="4" customFormat="1" ht="15.5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spans="1:13" s="4" customFormat="1" ht="15.5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spans="1:13" s="4" customFormat="1" ht="15.5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spans="1:13" s="4" customFormat="1" ht="15.5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spans="1:13" s="4" customFormat="1" ht="15.5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spans="1:13" s="4" customFormat="1" ht="15.5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</row>
    <row r="251" spans="1:13" s="4" customFormat="1" ht="15.5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spans="1:13" s="4" customFormat="1" ht="15.5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spans="1:13" s="4" customFormat="1" ht="15.5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</row>
    <row r="254" spans="1:13" s="4" customFormat="1" ht="15.5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spans="1:13" s="4" customFormat="1" ht="15.5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</row>
    <row r="256" spans="1:13" s="4" customFormat="1" ht="15.5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</row>
    <row r="257" spans="1:13" s="4" customFormat="1" ht="15.5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spans="1:13" s="4" customFormat="1" ht="15.5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</row>
    <row r="259" spans="1:13" s="4" customFormat="1" ht="15.5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spans="1:13" s="4" customFormat="1" ht="15.5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spans="1:13" s="4" customFormat="1" ht="15.5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spans="1:13" s="4" customFormat="1" ht="15.5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spans="1:13" s="4" customFormat="1" ht="15.5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spans="1:13" s="4" customFormat="1" ht="15.5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spans="1:13" s="4" customFormat="1" ht="15.5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spans="1:13" s="4" customFormat="1" ht="15.5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spans="1:13" s="4" customFormat="1" ht="15.5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</row>
    <row r="268" spans="1:13" s="4" customFormat="1" ht="15.5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spans="1:13" s="4" customFormat="1" ht="15.5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</row>
    <row r="270" spans="1:13" s="4" customFormat="1" ht="15.5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</row>
    <row r="271" spans="1:13" s="4" customFormat="1" ht="15.5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</row>
    <row r="272" spans="1:13" s="4" customFormat="1" ht="15.5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spans="1:13" s="4" customFormat="1" ht="15.5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spans="1:13" s="4" customFormat="1" ht="15.5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</row>
    <row r="275" spans="1:13" s="4" customFormat="1" ht="15.5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</row>
    <row r="276" spans="1:13" s="4" customFormat="1" ht="15.5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spans="1:13" s="4" customFormat="1" ht="15.5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 spans="1:13" s="4" customFormat="1" ht="15.5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 spans="1:13" s="4" customFormat="1" ht="15.5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 spans="1:13" s="4" customFormat="1" ht="15.5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spans="1:13" s="4" customFormat="1" ht="15.5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 spans="1:13" s="4" customFormat="1" ht="15.5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spans="1:13" s="4" customFormat="1" ht="15.5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spans="1:13" s="4" customFormat="1" ht="15.5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spans="1:13" s="4" customFormat="1" ht="15.5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spans="1:13" s="4" customFormat="1" ht="15.5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 spans="1:13" s="4" customFormat="1" ht="15.5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 spans="1:13" s="4" customFormat="1" ht="15.5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 spans="1:13" s="4" customFormat="1" ht="15.5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spans="1:13" s="4" customFormat="1" ht="15.5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 spans="1:13" s="4" customFormat="1" ht="15.5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 spans="1:13" s="4" customFormat="1" ht="15.5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 spans="1:13" s="4" customFormat="1" ht="15.5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spans="1:13" s="4" customFormat="1" ht="15.5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 spans="1:13" s="4" customFormat="1" ht="15.5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spans="1:13" s="4" customFormat="1" ht="15.5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 spans="1:13" s="4" customFormat="1" ht="15.5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spans="1:13" s="4" customFormat="1" ht="15.5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 spans="1:13" s="4" customFormat="1" ht="15.5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 spans="1:13" s="4" customFormat="1" ht="15.5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 spans="1:13" s="4" customFormat="1" ht="15.5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spans="1:13" s="4" customFormat="1" ht="15.5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spans="1:13" s="4" customFormat="1" ht="15.5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spans="1:13" s="4" customFormat="1" ht="15.5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 spans="1:13" s="4" customFormat="1" ht="15.5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 spans="1:13" s="4" customFormat="1" ht="15.5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 spans="1:13" s="4" customFormat="1" ht="15.5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 spans="1:13" s="4" customFormat="1" ht="15.5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 spans="1:13" s="4" customFormat="1" ht="15.5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spans="1:13" s="4" customFormat="1" ht="15.5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 spans="1:13" s="4" customFormat="1" ht="15.5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 spans="1:13" s="4" customFormat="1" ht="15.5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 spans="1:13" s="4" customFormat="1" ht="15.5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 spans="1:13" s="4" customFormat="1" ht="15.5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spans="1:13" s="4" customFormat="1" ht="15.5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 spans="1:13" s="4" customFormat="1" ht="15.5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 spans="1:13" s="4" customFormat="1" ht="15.5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 spans="1:13" s="4" customFormat="1" ht="15.5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 spans="1:13" s="4" customFormat="1" ht="15.5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 spans="1:13" s="4" customFormat="1" ht="15.5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spans="1:13" s="4" customFormat="1" ht="15.5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spans="1:13" s="4" customFormat="1" ht="15.5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spans="1:13" s="4" customFormat="1" ht="15.5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 spans="1:13" s="4" customFormat="1" ht="15.5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 spans="1:13" s="4" customFormat="1" ht="15.5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spans="1:13" s="4" customFormat="1" ht="15.5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 spans="1:13" s="4" customFormat="1" ht="15.5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 spans="1:13" s="4" customFormat="1" ht="15.5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spans="1:13" s="4" customFormat="1" ht="15.5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 spans="1:13" s="4" customFormat="1" ht="15.5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 spans="1:13" s="4" customFormat="1" ht="15.5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 spans="1:13" s="4" customFormat="1" ht="15.5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spans="1:13" s="4" customFormat="1" ht="15.5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 spans="1:13" s="4" customFormat="1" ht="15.5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spans="1:13" s="4" customFormat="1" ht="15.5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 spans="1:13" s="4" customFormat="1" ht="15.5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spans="1:13" s="4" customFormat="1" ht="15.5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 spans="1:13" s="4" customFormat="1" ht="15.5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 spans="1:13" s="4" customFormat="1" ht="15.5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spans="1:13" s="4" customFormat="1" ht="15.5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spans="1:13" s="4" customFormat="1" ht="15.5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spans="1:13" s="4" customFormat="1" ht="15.5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spans="1:13" s="4" customFormat="1" ht="15.5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 spans="1:13" s="4" customFormat="1" ht="15.5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 spans="1:13" s="4" customFormat="1" ht="15.5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spans="1:13" s="4" customFormat="1" ht="15.5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 spans="1:13" s="4" customFormat="1" ht="15.5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 spans="1:13" s="4" customFormat="1" ht="15.5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 spans="1:13" s="4" customFormat="1" ht="15.5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 spans="1:13" s="4" customFormat="1" ht="15.5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spans="1:13" s="4" customFormat="1" ht="15.5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 spans="1:13" s="4" customFormat="1" ht="15.5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 spans="1:13" s="4" customFormat="1" ht="15.5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 spans="1:13" s="4" customFormat="1" ht="15.5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 spans="1:13" s="4" customFormat="1" ht="15.5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 spans="1:13" s="4" customFormat="1" ht="15.5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 spans="1:13" s="4" customFormat="1" ht="15.5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 spans="1:13" s="4" customFormat="1" ht="15.5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spans="1:13" s="4" customFormat="1" ht="15.5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spans="1:13" s="4" customFormat="1" ht="15.5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spans="1:13" s="4" customFormat="1" ht="15.5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 spans="1:13" s="4" customFormat="1" ht="15.5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spans="1:13" s="4" customFormat="1" ht="15.5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 spans="1:13" s="4" customFormat="1" ht="15.5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 spans="1:13" s="4" customFormat="1" ht="15.5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 spans="1:13" s="4" customFormat="1" ht="15.5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 spans="1:13" s="4" customFormat="1" ht="15.5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 spans="1:13" s="4" customFormat="1" ht="15.5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 spans="1:13" s="4" customFormat="1" ht="15.5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 spans="1:13" s="4" customFormat="1" ht="15.5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spans="1:13" s="4" customFormat="1" ht="15.5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 spans="1:13" s="4" customFormat="1" ht="15.5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 spans="1:13" s="4" customFormat="1" ht="15.5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spans="1:13" s="4" customFormat="1" ht="15.5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spans="1:13" s="4" customFormat="1" ht="15.5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spans="1:13" s="4" customFormat="1" ht="15.5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 spans="1:13" s="4" customFormat="1" ht="15.5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spans="1:13" s="4" customFormat="1" ht="15.5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 spans="1:13" s="4" customFormat="1" ht="15.5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 spans="1:13" s="4" customFormat="1" ht="15.5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 spans="1:13" s="4" customFormat="1" ht="15.5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 spans="1:13" s="4" customFormat="1" ht="15.5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 spans="1:13" s="4" customFormat="1" ht="15.5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spans="1:13" s="4" customFormat="1" ht="15.5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 spans="1:13" s="4" customFormat="1" ht="15.5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 spans="1:13" s="4" customFormat="1" ht="15.5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  <row r="387" spans="1:13" s="4" customFormat="1" ht="15.5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</row>
    <row r="388" spans="1:13" s="4" customFormat="1" ht="15.5" x14ac:dyDescent="0.3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</row>
    <row r="389" spans="1:13" s="4" customFormat="1" ht="15.5" x14ac:dyDescent="0.3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</row>
    <row r="390" spans="1:13" s="4" customFormat="1" ht="15.5" x14ac:dyDescent="0.3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</row>
    <row r="391" spans="1:13" s="4" customFormat="1" ht="15.5" x14ac:dyDescent="0.3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</row>
    <row r="392" spans="1:13" s="4" customFormat="1" ht="15.5" x14ac:dyDescent="0.3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</row>
    <row r="393" spans="1:13" s="4" customFormat="1" ht="15.5" x14ac:dyDescent="0.3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</row>
  </sheetData>
  <mergeCells count="28">
    <mergeCell ref="A29:B29"/>
    <mergeCell ref="A32:B32"/>
    <mergeCell ref="A30:B30"/>
    <mergeCell ref="A31:B31"/>
    <mergeCell ref="A23:B23"/>
    <mergeCell ref="A24:B24"/>
    <mergeCell ref="A25:B25"/>
    <mergeCell ref="A26:B26"/>
    <mergeCell ref="A27:B27"/>
    <mergeCell ref="A28:B28"/>
    <mergeCell ref="A22:B22"/>
    <mergeCell ref="A11:C11"/>
    <mergeCell ref="D11:G11"/>
    <mergeCell ref="J11:K11"/>
    <mergeCell ref="D13:E13"/>
    <mergeCell ref="H13:I13"/>
    <mergeCell ref="H15:I15"/>
    <mergeCell ref="A17:E18"/>
    <mergeCell ref="G17:I17"/>
    <mergeCell ref="A19:B19"/>
    <mergeCell ref="A20:B20"/>
    <mergeCell ref="A21:B21"/>
    <mergeCell ref="A1:K3"/>
    <mergeCell ref="A7:D7"/>
    <mergeCell ref="E7:G7"/>
    <mergeCell ref="J7:K7"/>
    <mergeCell ref="H9:I9"/>
    <mergeCell ref="J9:K9"/>
  </mergeCells>
  <dataValidations count="2">
    <dataValidation type="list" allowBlank="1" showInputMessage="1" showErrorMessage="1" sqref="J7:K7" xr:uid="{C94CA49F-7897-43DB-9775-9E44DD93CFC3}">
      <formula1>mois_bon2</formula1>
    </dataValidation>
    <dataValidation type="list" allowBlank="1" showInputMessage="1" showErrorMessage="1" sqref="E7" xr:uid="{F1BDBE33-FA07-4011-ABA2-BE8E72866D12}">
      <formula1>secteur</formula1>
    </dataValidation>
  </dataValidations>
  <pageMargins left="0.7" right="0.7" top="0.75" bottom="0.75" header="0.3" footer="0.3"/>
  <pageSetup paperSize="9" scale="65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D105-1B61-4FDA-BCE7-F02E844FBAC4}">
  <sheetPr>
    <tabColor rgb="FF7030A0"/>
  </sheetPr>
  <dimension ref="A1:M395"/>
  <sheetViews>
    <sheetView showGridLines="0" topLeftCell="A8" workbookViewId="0">
      <selection activeCell="H50" activeCellId="1" sqref="F54 H50"/>
    </sheetView>
  </sheetViews>
  <sheetFormatPr baseColWidth="10" defaultRowHeight="17.5" x14ac:dyDescent="0.35"/>
  <cols>
    <col min="1" max="1" width="10.90625" style="8"/>
    <col min="2" max="2" width="11.81640625" style="8" customWidth="1"/>
    <col min="3" max="3" width="14.1796875" style="8" customWidth="1"/>
    <col min="4" max="5" width="10.90625" style="8"/>
    <col min="6" max="6" width="3.54296875" style="8" customWidth="1"/>
    <col min="7" max="8" width="10.90625" style="8"/>
    <col min="9" max="9" width="14.453125" style="8" customWidth="1"/>
    <col min="10" max="10" width="10.90625" style="8"/>
    <col min="11" max="11" width="15.26953125" style="8" bestFit="1" customWidth="1"/>
    <col min="12" max="13" width="10.90625" style="8"/>
  </cols>
  <sheetData>
    <row r="1" spans="1:13" ht="7.5" customHeight="1" x14ac:dyDescent="0.35">
      <c r="A1" s="269" t="s">
        <v>50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</row>
    <row r="2" spans="1:13" ht="13.5" customHeight="1" x14ac:dyDescent="0.35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</row>
    <row r="3" spans="1:13" ht="15" hidden="1" customHeight="1" x14ac:dyDescent="0.35">
      <c r="A3" s="269"/>
      <c r="B3" s="269"/>
      <c r="C3" s="269"/>
      <c r="D3" s="269"/>
      <c r="E3" s="269"/>
      <c r="F3" s="269"/>
      <c r="G3" s="269"/>
      <c r="H3" s="269"/>
      <c r="I3" s="269"/>
      <c r="J3" s="269"/>
      <c r="K3" s="269"/>
    </row>
    <row r="4" spans="1:13" ht="5.25" customHeight="1" x14ac:dyDescent="0.35"/>
    <row r="5" spans="1:13" ht="13.5" customHeight="1" x14ac:dyDescent="0.35">
      <c r="A5" s="34" t="s">
        <v>52</v>
      </c>
    </row>
    <row r="6" spans="1:13" ht="5.25" customHeight="1" thickBot="1" x14ac:dyDescent="0.4">
      <c r="A6" s="34"/>
    </row>
    <row r="7" spans="1:13" s="23" customFormat="1" ht="16.5" thickTop="1" thickBot="1" x14ac:dyDescent="0.4">
      <c r="A7" s="270" t="s">
        <v>44</v>
      </c>
      <c r="B7" s="270"/>
      <c r="C7" s="270"/>
      <c r="D7" s="270"/>
      <c r="E7" s="271" t="s">
        <v>28</v>
      </c>
      <c r="F7" s="272"/>
      <c r="G7" s="273"/>
      <c r="I7" s="36" t="s">
        <v>46</v>
      </c>
      <c r="J7" s="274" t="s">
        <v>241</v>
      </c>
      <c r="K7" s="275"/>
      <c r="M7" s="28"/>
    </row>
    <row r="8" spans="1:13" ht="5.25" customHeight="1" thickTop="1" thickBot="1" x14ac:dyDescent="0.4"/>
    <row r="9" spans="1:13" ht="18.5" thickTop="1" thickBot="1" x14ac:dyDescent="0.4">
      <c r="H9" s="267" t="s">
        <v>53</v>
      </c>
      <c r="I9" s="268"/>
      <c r="J9" s="276">
        <v>46275</v>
      </c>
      <c r="K9" s="277"/>
    </row>
    <row r="10" spans="1:13" ht="18.5" thickTop="1" thickBot="1" x14ac:dyDescent="0.4">
      <c r="J10" s="45"/>
      <c r="K10" s="37"/>
    </row>
    <row r="11" spans="1:13" s="3" customFormat="1" ht="16.5" thickTop="1" thickBot="1" x14ac:dyDescent="0.4">
      <c r="A11" s="270" t="s">
        <v>45</v>
      </c>
      <c r="B11" s="270"/>
      <c r="C11" s="270"/>
      <c r="D11" s="271" t="s">
        <v>203</v>
      </c>
      <c r="E11" s="272"/>
      <c r="F11" s="272"/>
      <c r="G11" s="273"/>
      <c r="H11" s="23"/>
      <c r="I11" s="31" t="s">
        <v>47</v>
      </c>
      <c r="J11" s="271"/>
      <c r="K11" s="273"/>
      <c r="L11" s="23"/>
      <c r="M11" s="23"/>
    </row>
    <row r="12" spans="1:13" s="4" customFormat="1" ht="16.5" thickTop="1" thickBot="1" x14ac:dyDescent="0.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s="25" customFormat="1" ht="16.5" thickTop="1" thickBot="1" x14ac:dyDescent="0.4">
      <c r="A13" s="52" t="s">
        <v>76</v>
      </c>
      <c r="B13" s="46"/>
      <c r="C13" s="35">
        <v>3000000</v>
      </c>
      <c r="D13" s="267" t="s">
        <v>49</v>
      </c>
      <c r="E13" s="267"/>
      <c r="F13" s="32">
        <v>12</v>
      </c>
      <c r="G13" s="30" t="s">
        <v>48</v>
      </c>
      <c r="H13" s="278" t="s">
        <v>57</v>
      </c>
      <c r="I13" s="279"/>
      <c r="J13" s="33">
        <f>IF(C13&lt;1000000,F13*1.5%,F13%)</f>
        <v>0.12</v>
      </c>
      <c r="K13" s="24"/>
      <c r="L13" s="24"/>
      <c r="M13" s="24"/>
    </row>
    <row r="14" spans="1:13" s="4" customFormat="1" ht="16.5" thickTop="1" thickBot="1" x14ac:dyDescent="0.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s="3" customFormat="1" ht="16.5" thickTop="1" thickBot="1" x14ac:dyDescent="0.4">
      <c r="A15" s="23"/>
      <c r="B15" s="23"/>
      <c r="C15" s="23"/>
      <c r="D15" s="23"/>
      <c r="E15" s="23"/>
      <c r="F15" s="23"/>
      <c r="G15" s="23"/>
      <c r="H15" s="267" t="s">
        <v>26</v>
      </c>
      <c r="I15" s="268"/>
      <c r="J15" s="27">
        <f>C13*J13</f>
        <v>360000</v>
      </c>
      <c r="K15" s="23"/>
      <c r="L15" s="23"/>
      <c r="M15" s="23"/>
    </row>
    <row r="16" spans="1:13" s="4" customFormat="1" ht="16.5" thickTop="1" thickBot="1" x14ac:dyDescent="0.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s="4" customFormat="1" ht="18.75" customHeight="1" thickTop="1" thickBot="1" x14ac:dyDescent="0.4">
      <c r="A17" s="280" t="s">
        <v>51</v>
      </c>
      <c r="B17" s="280"/>
      <c r="C17" s="280"/>
      <c r="D17" s="280"/>
      <c r="E17" s="280"/>
      <c r="F17" s="15"/>
      <c r="G17" s="282" t="s">
        <v>73</v>
      </c>
      <c r="H17" s="282"/>
      <c r="I17" s="283"/>
      <c r="J17" s="51">
        <f>C13+J15</f>
        <v>3360000</v>
      </c>
      <c r="K17" s="15"/>
      <c r="L17" s="15"/>
      <c r="M17" s="15"/>
    </row>
    <row r="18" spans="1:13" s="4" customFormat="1" ht="13.5" customHeight="1" thickTop="1" thickBot="1" x14ac:dyDescent="0.4">
      <c r="A18" s="281"/>
      <c r="B18" s="281"/>
      <c r="C18" s="281"/>
      <c r="D18" s="281"/>
      <c r="E18" s="281"/>
      <c r="F18" s="15"/>
      <c r="G18" s="15"/>
      <c r="H18" s="15"/>
      <c r="I18" s="15"/>
      <c r="J18" s="15"/>
      <c r="K18" s="15"/>
      <c r="L18" s="15"/>
      <c r="M18" s="15"/>
    </row>
    <row r="19" spans="1:13" s="4" customFormat="1" ht="42.75" customHeight="1" thickTop="1" thickBot="1" x14ac:dyDescent="0.45">
      <c r="A19" s="284" t="s">
        <v>196</v>
      </c>
      <c r="B19" s="285"/>
      <c r="C19" s="38" t="s">
        <v>54</v>
      </c>
      <c r="D19" s="39" t="s">
        <v>55</v>
      </c>
      <c r="E19" s="40" t="s">
        <v>56</v>
      </c>
      <c r="F19" s="15"/>
      <c r="G19" s="26"/>
      <c r="H19" s="15"/>
      <c r="I19" s="15"/>
      <c r="J19" s="15"/>
      <c r="K19" s="15"/>
      <c r="L19" s="15"/>
      <c r="M19" s="15"/>
    </row>
    <row r="20" spans="1:13" s="4" customFormat="1" ht="16" thickBot="1" x14ac:dyDescent="0.4">
      <c r="A20" s="286">
        <v>45870</v>
      </c>
      <c r="B20" s="287"/>
      <c r="C20" s="41"/>
      <c r="D20" s="44"/>
      <c r="E20" s="43">
        <f t="shared" ref="E20:E25" si="0">C20-D20</f>
        <v>0</v>
      </c>
      <c r="F20" s="15"/>
      <c r="G20" s="15"/>
      <c r="H20" s="15"/>
      <c r="I20" s="15"/>
      <c r="J20" s="15"/>
      <c r="K20" s="15"/>
      <c r="L20" s="15"/>
      <c r="M20" s="15"/>
    </row>
    <row r="21" spans="1:13" s="4" customFormat="1" ht="16" thickBot="1" x14ac:dyDescent="0.4">
      <c r="A21" s="286">
        <v>45901</v>
      </c>
      <c r="B21" s="287"/>
      <c r="C21" s="41"/>
      <c r="D21" s="44"/>
      <c r="E21" s="43">
        <f t="shared" si="0"/>
        <v>0</v>
      </c>
      <c r="F21" s="15"/>
      <c r="G21" s="15"/>
      <c r="H21" s="15"/>
      <c r="I21" s="15"/>
      <c r="J21" s="15"/>
      <c r="K21" s="15"/>
      <c r="L21" s="15"/>
      <c r="M21" s="15"/>
    </row>
    <row r="22" spans="1:13" s="4" customFormat="1" ht="16" thickBot="1" x14ac:dyDescent="0.4">
      <c r="A22" s="286">
        <v>45931</v>
      </c>
      <c r="B22" s="287"/>
      <c r="C22" s="41">
        <f t="shared" ref="C22:C26" si="1">J$17/F$13</f>
        <v>280000</v>
      </c>
      <c r="D22" s="44"/>
      <c r="E22" s="43">
        <f t="shared" si="0"/>
        <v>280000</v>
      </c>
      <c r="F22" s="15"/>
      <c r="G22" s="15"/>
      <c r="H22" s="15"/>
      <c r="I22" s="15"/>
      <c r="J22" s="15"/>
      <c r="K22" s="15"/>
      <c r="L22" s="15"/>
      <c r="M22" s="15"/>
    </row>
    <row r="23" spans="1:13" s="4" customFormat="1" ht="16" thickBot="1" x14ac:dyDescent="0.4">
      <c r="A23" s="286">
        <v>45962</v>
      </c>
      <c r="B23" s="287"/>
      <c r="C23" s="41">
        <f t="shared" si="1"/>
        <v>280000</v>
      </c>
      <c r="D23" s="44"/>
      <c r="E23" s="43">
        <f t="shared" si="0"/>
        <v>280000</v>
      </c>
      <c r="F23" s="15"/>
      <c r="G23" s="15"/>
      <c r="H23" s="15"/>
      <c r="I23" s="15"/>
      <c r="J23" s="15"/>
      <c r="K23" s="15"/>
      <c r="L23" s="15"/>
      <c r="M23" s="15"/>
    </row>
    <row r="24" spans="1:13" s="4" customFormat="1" ht="16" thickBot="1" x14ac:dyDescent="0.4">
      <c r="A24" s="286">
        <v>45992</v>
      </c>
      <c r="B24" s="287"/>
      <c r="C24" s="41">
        <f t="shared" si="1"/>
        <v>280000</v>
      </c>
      <c r="D24" s="44"/>
      <c r="E24" s="43">
        <f t="shared" si="0"/>
        <v>280000</v>
      </c>
      <c r="F24" s="15"/>
      <c r="G24" s="15"/>
      <c r="H24" s="15"/>
      <c r="I24" s="15"/>
      <c r="J24" s="15"/>
      <c r="K24" s="15"/>
      <c r="L24" s="15"/>
      <c r="M24" s="15"/>
    </row>
    <row r="25" spans="1:13" s="4" customFormat="1" ht="16" thickBot="1" x14ac:dyDescent="0.4">
      <c r="A25" s="286">
        <v>46023</v>
      </c>
      <c r="B25" s="287"/>
      <c r="C25" s="41">
        <f t="shared" si="1"/>
        <v>280000</v>
      </c>
      <c r="D25" s="44"/>
      <c r="E25" s="43">
        <f t="shared" si="0"/>
        <v>280000</v>
      </c>
      <c r="F25" s="15"/>
      <c r="G25" s="15"/>
      <c r="H25" s="15"/>
      <c r="I25" s="15"/>
      <c r="J25" s="15"/>
      <c r="K25" s="15"/>
      <c r="L25" s="15"/>
      <c r="M25" s="15"/>
    </row>
    <row r="26" spans="1:13" s="4" customFormat="1" ht="16" thickBot="1" x14ac:dyDescent="0.4">
      <c r="A26" s="286">
        <v>46054</v>
      </c>
      <c r="B26" s="287"/>
      <c r="C26" s="41">
        <f t="shared" si="1"/>
        <v>280000</v>
      </c>
      <c r="D26" s="44"/>
      <c r="E26" s="43">
        <f t="shared" ref="E26:E31" si="2">C26-D26</f>
        <v>280000</v>
      </c>
      <c r="F26" s="15"/>
      <c r="G26" s="15"/>
      <c r="H26" s="15"/>
      <c r="I26" s="15"/>
      <c r="J26" s="15"/>
      <c r="K26" s="15"/>
      <c r="L26" s="15"/>
      <c r="M26" s="15"/>
    </row>
    <row r="27" spans="1:13" s="4" customFormat="1" ht="16" thickBot="1" x14ac:dyDescent="0.4">
      <c r="A27" s="286">
        <v>46082</v>
      </c>
      <c r="B27" s="287"/>
      <c r="C27" s="41">
        <f t="shared" ref="C27:C33" si="3">J$17/F$13</f>
        <v>280000</v>
      </c>
      <c r="D27" s="44"/>
      <c r="E27" s="43">
        <f t="shared" si="2"/>
        <v>280000</v>
      </c>
      <c r="F27" s="15"/>
      <c r="G27" s="15"/>
      <c r="H27" s="15"/>
      <c r="I27" s="15"/>
      <c r="J27" s="15"/>
      <c r="K27" s="15"/>
      <c r="L27" s="15"/>
      <c r="M27" s="15"/>
    </row>
    <row r="28" spans="1:13" s="4" customFormat="1" ht="16" thickBot="1" x14ac:dyDescent="0.4">
      <c r="A28" s="286">
        <v>46113</v>
      </c>
      <c r="B28" s="287"/>
      <c r="C28" s="41">
        <f t="shared" si="3"/>
        <v>280000</v>
      </c>
      <c r="D28" s="44"/>
      <c r="E28" s="43">
        <f t="shared" ref="E28:E29" si="4">C28-D28</f>
        <v>280000</v>
      </c>
      <c r="F28" s="15"/>
      <c r="G28" s="15"/>
      <c r="H28" s="15"/>
      <c r="I28" s="15"/>
      <c r="J28" s="15"/>
      <c r="K28" s="15"/>
      <c r="L28" s="15"/>
      <c r="M28" s="15"/>
    </row>
    <row r="29" spans="1:13" s="4" customFormat="1" ht="16" thickBot="1" x14ac:dyDescent="0.4">
      <c r="A29" s="286">
        <v>46143</v>
      </c>
      <c r="B29" s="287"/>
      <c r="C29" s="41">
        <f t="shared" si="3"/>
        <v>280000</v>
      </c>
      <c r="D29" s="44"/>
      <c r="E29" s="43">
        <f t="shared" si="4"/>
        <v>280000</v>
      </c>
      <c r="F29" s="15"/>
      <c r="G29" s="15"/>
      <c r="H29" s="15"/>
      <c r="I29" s="15"/>
      <c r="J29" s="15"/>
      <c r="K29" s="15"/>
      <c r="L29" s="15"/>
      <c r="M29" s="15"/>
    </row>
    <row r="30" spans="1:13" s="4" customFormat="1" ht="16" thickBot="1" x14ac:dyDescent="0.4">
      <c r="A30" s="286">
        <v>46174</v>
      </c>
      <c r="B30" s="287"/>
      <c r="C30" s="41">
        <f t="shared" si="3"/>
        <v>280000</v>
      </c>
      <c r="D30" s="44"/>
      <c r="E30" s="43">
        <f t="shared" si="2"/>
        <v>280000</v>
      </c>
      <c r="F30" s="15"/>
      <c r="G30" s="15"/>
      <c r="H30" s="15"/>
      <c r="I30" s="15"/>
      <c r="J30" s="15"/>
      <c r="K30" s="15"/>
      <c r="L30" s="15"/>
      <c r="M30" s="15"/>
    </row>
    <row r="31" spans="1:13" s="4" customFormat="1" ht="16" thickBot="1" x14ac:dyDescent="0.4">
      <c r="A31" s="286">
        <v>46204</v>
      </c>
      <c r="B31" s="287"/>
      <c r="C31" s="41">
        <f t="shared" si="3"/>
        <v>280000</v>
      </c>
      <c r="D31" s="44"/>
      <c r="E31" s="43">
        <f t="shared" si="2"/>
        <v>280000</v>
      </c>
      <c r="F31" s="15"/>
      <c r="G31" s="15"/>
      <c r="H31" s="15"/>
      <c r="I31" s="15"/>
      <c r="J31" s="15"/>
      <c r="K31" s="15"/>
      <c r="L31" s="15"/>
      <c r="M31" s="15"/>
    </row>
    <row r="32" spans="1:13" s="4" customFormat="1" ht="16" thickBot="1" x14ac:dyDescent="0.4">
      <c r="A32" s="286">
        <v>46235</v>
      </c>
      <c r="B32" s="287"/>
      <c r="C32" s="41">
        <f t="shared" ref="C32" si="5">J$17/F$13</f>
        <v>280000</v>
      </c>
      <c r="D32" s="44"/>
      <c r="E32" s="43">
        <f t="shared" ref="E32" si="6">C32-D32</f>
        <v>280000</v>
      </c>
      <c r="F32" s="15"/>
      <c r="G32" s="15"/>
      <c r="H32" s="15"/>
      <c r="I32" s="15"/>
      <c r="J32" s="15"/>
      <c r="K32" s="15"/>
      <c r="L32" s="15"/>
      <c r="M32" s="15"/>
    </row>
    <row r="33" spans="1:13" s="4" customFormat="1" ht="16" thickBot="1" x14ac:dyDescent="0.4">
      <c r="A33" s="286">
        <v>46266</v>
      </c>
      <c r="B33" s="287"/>
      <c r="C33" s="41">
        <f t="shared" si="3"/>
        <v>280000</v>
      </c>
      <c r="D33" s="44"/>
      <c r="E33" s="43">
        <f t="shared" ref="E33" si="7">C33-D33</f>
        <v>280000</v>
      </c>
      <c r="F33" s="15"/>
      <c r="G33" s="15"/>
      <c r="H33" s="15"/>
      <c r="I33" s="15"/>
      <c r="J33" s="15"/>
      <c r="K33" s="15"/>
      <c r="L33" s="15"/>
      <c r="M33" s="15"/>
    </row>
    <row r="34" spans="1:13" s="3" customFormat="1" ht="20.25" customHeight="1" thickBot="1" x14ac:dyDescent="0.4">
      <c r="A34" s="288" t="s">
        <v>43</v>
      </c>
      <c r="B34" s="289"/>
      <c r="C34" s="29">
        <f>SUM(C22:C33)</f>
        <v>3360000</v>
      </c>
      <c r="D34" s="29">
        <f>SUM(D26:D33)</f>
        <v>0</v>
      </c>
      <c r="E34" s="29">
        <f>SUM(E22:E33)</f>
        <v>3360000</v>
      </c>
      <c r="F34" s="23"/>
      <c r="G34" s="23"/>
      <c r="H34" s="23"/>
      <c r="I34" s="23"/>
      <c r="J34" s="23"/>
      <c r="K34" s="23"/>
      <c r="L34" s="23"/>
      <c r="M34" s="23"/>
    </row>
    <row r="35" spans="1:13" s="4" customFormat="1" ht="16" thickTop="1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 s="4" customFormat="1" ht="15.5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s="4" customFormat="1" ht="15.5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s="4" customFormat="1" ht="15.5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s="4" customFormat="1" ht="15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s="4" customFormat="1" ht="15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s="4" customFormat="1" ht="15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s="4" customFormat="1" ht="15.5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 s="4" customFormat="1" ht="15.5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s="4" customFormat="1" ht="15.5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s="4" customFormat="1" ht="15.5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s="4" customFormat="1" ht="15.5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s="4" customFormat="1" ht="15.5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s="4" customFormat="1" ht="15.5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s="4" customFormat="1" ht="15.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s="4" customFormat="1" ht="15.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s="4" customFormat="1" ht="15.5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s="4" customFormat="1" ht="15.5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s="4" customFormat="1" ht="15.5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s="4" customFormat="1" ht="15.5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s="4" customFormat="1" ht="15.5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 s="4" customFormat="1" ht="15.5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s="4" customFormat="1" ht="15.5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 s="4" customFormat="1" ht="15.5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s="4" customFormat="1" ht="15.5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s="4" customFormat="1" ht="15.5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s="4" customFormat="1" ht="15.5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 s="4" customFormat="1" ht="15.5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s="4" customFormat="1" ht="15.5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 s="4" customFormat="1" ht="15.5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s="4" customFormat="1" ht="15.5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s="4" customFormat="1" ht="15.5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s="4" customFormat="1" ht="15.5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s="4" customFormat="1" ht="15.5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s="4" customFormat="1" ht="15.5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s="4" customFormat="1" ht="15.5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s="4" customFormat="1" ht="15.5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s="4" customFormat="1" ht="15.5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s="4" customFormat="1" ht="15.5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s="4" customFormat="1" ht="15.5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 s="4" customFormat="1" ht="15.5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s="4" customFormat="1" ht="15.5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s="4" customFormat="1" ht="15.5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 s="4" customFormat="1" ht="15.5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s="4" customFormat="1" ht="15.5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s="4" customFormat="1" ht="15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s="4" customFormat="1" ht="15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s="4" customFormat="1" ht="15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 s="4" customFormat="1" ht="15.5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s="4" customFormat="1" ht="15.5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1:13" s="4" customFormat="1" ht="15.5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1:13" s="4" customFormat="1" ht="15.5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 s="4" customFormat="1" ht="15.5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 s="4" customFormat="1" ht="15.5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s="4" customFormat="1" ht="15.5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 s="4" customFormat="1" ht="15.5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 s="4" customFormat="1" ht="15.5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 s="4" customFormat="1" ht="15.5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 s="4" customFormat="1" ht="15.5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1:13" s="4" customFormat="1" ht="15.5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s="4" customFormat="1" ht="15.5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 s="4" customFormat="1" ht="15.5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s="4" customFormat="1" ht="15.5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s="4" customFormat="1" ht="15.5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1:13" s="4" customFormat="1" ht="15.5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 s="4" customFormat="1" ht="15.5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s="4" customFormat="1" ht="15.5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1:13" s="4" customFormat="1" ht="15.5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s="4" customFormat="1" ht="15.5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s="4" customFormat="1" ht="15.5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1:13" s="4" customFormat="1" ht="15.5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1:13" s="4" customFormat="1" ht="15.5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1:13" s="4" customFormat="1" ht="15.5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 s="4" customFormat="1" ht="15.5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1:13" s="4" customFormat="1" ht="15.5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s="4" customFormat="1" ht="15.5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1:13" s="4" customFormat="1" ht="15.5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 s="4" customFormat="1" ht="15.5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1:13" s="4" customFormat="1" ht="15.5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 s="4" customFormat="1" ht="15.5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 s="4" customFormat="1" ht="15.5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 s="4" customFormat="1" ht="15.5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 s="4" customFormat="1" ht="15.5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 s="4" customFormat="1" ht="15.5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 s="4" customFormat="1" ht="15.5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 s="4" customFormat="1" ht="15.5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 s="4" customFormat="1" ht="15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1:13" s="4" customFormat="1" ht="15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1:13" s="4" customFormat="1" ht="15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1:13" s="4" customFormat="1" ht="15.5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1:13" s="4" customFormat="1" ht="15.5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1:13" s="4" customFormat="1" ht="15.5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 s="4" customFormat="1" ht="15.5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1:13" s="4" customFormat="1" ht="15.5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s="4" customFormat="1" ht="15.5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3" s="4" customFormat="1" ht="15.5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1:13" s="4" customFormat="1" ht="15.5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 s="4" customFormat="1" ht="15.5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 s="4" customFormat="1" ht="15.5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 s="4" customFormat="1" ht="15.5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 s="4" customFormat="1" ht="15.5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 s="4" customFormat="1" ht="15.5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1:13" s="4" customFormat="1" ht="15.5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1:13" s="4" customFormat="1" ht="15.5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1:13" s="4" customFormat="1" ht="15.5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 s="4" customFormat="1" ht="15.5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1:13" s="4" customFormat="1" ht="15.5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 s="4" customFormat="1" ht="15.5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 s="4" customFormat="1" ht="15.5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1:13" s="4" customFormat="1" ht="15.5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1:13" s="4" customFormat="1" ht="15.5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 s="4" customFormat="1" ht="15.5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1:13" s="4" customFormat="1" ht="15.5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 s="4" customFormat="1" ht="15.5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1:13" s="4" customFormat="1" ht="15.5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1:13" s="4" customFormat="1" ht="15.5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 s="4" customFormat="1" ht="15.5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 s="4" customFormat="1" ht="15.5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s="4" customFormat="1" ht="15.5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 s="4" customFormat="1" ht="15.5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1:13" s="4" customFormat="1" ht="15.5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 s="4" customFormat="1" ht="15.5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spans="1:13" s="4" customFormat="1" ht="15.5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spans="1:13" s="4" customFormat="1" ht="15.5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spans="1:13" s="4" customFormat="1" ht="15.5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1:13" s="4" customFormat="1" ht="15.5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1:13" s="4" customFormat="1" ht="15.5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1:13" s="4" customFormat="1" ht="15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1:13" s="4" customFormat="1" ht="15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1:13" s="4" customFormat="1" ht="15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spans="1:13" s="4" customFormat="1" ht="15.5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1:13" s="4" customFormat="1" ht="15.5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1:13" s="4" customFormat="1" ht="15.5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spans="1:13" s="4" customFormat="1" ht="15.5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spans="1:13" s="4" customFormat="1" ht="15.5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spans="1:13" s="4" customFormat="1" ht="15.5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spans="1:13" s="4" customFormat="1" ht="15.5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spans="1:13" s="4" customFormat="1" ht="15.5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spans="1:13" s="4" customFormat="1" ht="15.5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spans="1:13" s="4" customFormat="1" ht="15.5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spans="1:13" s="4" customFormat="1" ht="15.5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spans="1:13" s="4" customFormat="1" ht="15.5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spans="1:13" s="4" customFormat="1" ht="15.5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1:13" s="4" customFormat="1" ht="15.5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spans="1:13" s="4" customFormat="1" ht="15.5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1:13" s="4" customFormat="1" ht="15.5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spans="1:13" s="4" customFormat="1" ht="15.5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1:13" s="4" customFormat="1" ht="15.5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spans="1:13" s="4" customFormat="1" ht="15.5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1:13" s="4" customFormat="1" ht="15.5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spans="1:13" s="4" customFormat="1" ht="15.5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spans="1:13" s="4" customFormat="1" ht="15.5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spans="1:13" s="4" customFormat="1" ht="15.5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1:13" s="4" customFormat="1" ht="15.5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spans="1:13" s="4" customFormat="1" ht="15.5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1:13" s="4" customFormat="1" ht="15.5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spans="1:13" s="4" customFormat="1" ht="15.5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spans="1:13" s="4" customFormat="1" ht="15.5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spans="1:13" s="4" customFormat="1" ht="15.5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spans="1:13" s="4" customFormat="1" ht="15.5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spans="1:13" s="4" customFormat="1" ht="15.5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1:13" s="4" customFormat="1" ht="15.5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spans="1:13" s="4" customFormat="1" ht="15.5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spans="1:13" s="4" customFormat="1" ht="15.5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1:13" s="4" customFormat="1" ht="15.5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1:13" s="4" customFormat="1" ht="15.5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1:13" s="4" customFormat="1" ht="15.5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spans="1:13" s="4" customFormat="1" ht="15.5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spans="1:13" s="4" customFormat="1" ht="15.5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  <row r="204" spans="1:13" s="4" customFormat="1" ht="15.5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</row>
    <row r="205" spans="1:13" s="4" customFormat="1" ht="15.5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</row>
    <row r="206" spans="1:13" s="4" customFormat="1" ht="15.5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1:13" s="4" customFormat="1" ht="15.5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spans="1:13" s="4" customFormat="1" ht="15.5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1:13" s="4" customFormat="1" ht="15.5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</row>
    <row r="210" spans="1:13" s="4" customFormat="1" ht="15.5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</row>
    <row r="211" spans="1:13" s="4" customFormat="1" ht="15.5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</row>
    <row r="212" spans="1:13" s="4" customFormat="1" ht="15.5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spans="1:13" s="4" customFormat="1" ht="15.5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</row>
    <row r="214" spans="1:13" s="4" customFormat="1" ht="15.5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spans="1:13" s="4" customFormat="1" ht="15.5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spans="1:13" s="4" customFormat="1" ht="15.5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spans="1:13" s="4" customFormat="1" ht="15.5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spans="1:13" s="4" customFormat="1" ht="15.5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spans="1:13" s="4" customFormat="1" ht="15.5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spans="1:13" s="4" customFormat="1" ht="15.5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spans="1:13" s="4" customFormat="1" ht="15.5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spans="1:13" s="4" customFormat="1" ht="15.5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spans="1:13" s="4" customFormat="1" ht="15.5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spans="1:13" s="4" customFormat="1" ht="15.5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5" spans="1:13" s="4" customFormat="1" ht="15.5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spans="1:13" s="4" customFormat="1" ht="15.5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27" spans="1:13" s="4" customFormat="1" ht="15.5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spans="1:13" s="4" customFormat="1" ht="15.5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spans="1:13" s="4" customFormat="1" ht="15.5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spans="1:13" s="4" customFormat="1" ht="15.5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</row>
    <row r="231" spans="1:13" s="4" customFormat="1" ht="15.5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</row>
    <row r="232" spans="1:13" s="4" customFormat="1" ht="15.5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</row>
    <row r="233" spans="1:13" s="4" customFormat="1" ht="15.5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</row>
    <row r="234" spans="1:13" s="4" customFormat="1" ht="15.5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spans="1:13" s="4" customFormat="1" ht="15.5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</row>
    <row r="236" spans="1:13" s="4" customFormat="1" ht="15.5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spans="1:13" s="4" customFormat="1" ht="15.5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</row>
    <row r="238" spans="1:13" s="4" customFormat="1" ht="15.5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spans="1:13" s="4" customFormat="1" ht="15.5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</row>
    <row r="240" spans="1:13" s="4" customFormat="1" ht="15.5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spans="1:13" s="4" customFormat="1" ht="15.5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</row>
    <row r="242" spans="1:13" s="4" customFormat="1" ht="15.5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3" spans="1:13" s="4" customFormat="1" ht="15.5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</row>
    <row r="244" spans="1:13" s="4" customFormat="1" ht="15.5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1:13" s="4" customFormat="1" ht="15.5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spans="1:13" s="4" customFormat="1" ht="15.5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spans="1:13" s="4" customFormat="1" ht="15.5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spans="1:13" s="4" customFormat="1" ht="15.5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spans="1:13" s="4" customFormat="1" ht="15.5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spans="1:13" s="4" customFormat="1" ht="15.5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</row>
    <row r="251" spans="1:13" s="4" customFormat="1" ht="15.5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spans="1:13" s="4" customFormat="1" ht="15.5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spans="1:13" s="4" customFormat="1" ht="15.5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</row>
    <row r="254" spans="1:13" s="4" customFormat="1" ht="15.5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spans="1:13" s="4" customFormat="1" ht="15.5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</row>
    <row r="256" spans="1:13" s="4" customFormat="1" ht="15.5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</row>
    <row r="257" spans="1:13" s="4" customFormat="1" ht="15.5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spans="1:13" s="4" customFormat="1" ht="15.5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</row>
    <row r="259" spans="1:13" s="4" customFormat="1" ht="15.5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spans="1:13" s="4" customFormat="1" ht="15.5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spans="1:13" s="4" customFormat="1" ht="15.5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spans="1:13" s="4" customFormat="1" ht="15.5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spans="1:13" s="4" customFormat="1" ht="15.5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spans="1:13" s="4" customFormat="1" ht="15.5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spans="1:13" s="4" customFormat="1" ht="15.5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spans="1:13" s="4" customFormat="1" ht="15.5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spans="1:13" s="4" customFormat="1" ht="15.5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</row>
    <row r="268" spans="1:13" s="4" customFormat="1" ht="15.5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spans="1:13" s="4" customFormat="1" ht="15.5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</row>
    <row r="270" spans="1:13" s="4" customFormat="1" ht="15.5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</row>
    <row r="271" spans="1:13" s="4" customFormat="1" ht="15.5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</row>
    <row r="272" spans="1:13" s="4" customFormat="1" ht="15.5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spans="1:13" s="4" customFormat="1" ht="15.5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spans="1:13" s="4" customFormat="1" ht="15.5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</row>
    <row r="275" spans="1:13" s="4" customFormat="1" ht="15.5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</row>
    <row r="276" spans="1:13" s="4" customFormat="1" ht="15.5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spans="1:13" s="4" customFormat="1" ht="15.5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 spans="1:13" s="4" customFormat="1" ht="15.5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 spans="1:13" s="4" customFormat="1" ht="15.5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 spans="1:13" s="4" customFormat="1" ht="15.5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spans="1:13" s="4" customFormat="1" ht="15.5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 spans="1:13" s="4" customFormat="1" ht="15.5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spans="1:13" s="4" customFormat="1" ht="15.5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spans="1:13" s="4" customFormat="1" ht="15.5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spans="1:13" s="4" customFormat="1" ht="15.5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spans="1:13" s="4" customFormat="1" ht="15.5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 spans="1:13" s="4" customFormat="1" ht="15.5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 spans="1:13" s="4" customFormat="1" ht="15.5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 spans="1:13" s="4" customFormat="1" ht="15.5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spans="1:13" s="4" customFormat="1" ht="15.5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 spans="1:13" s="4" customFormat="1" ht="15.5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 spans="1:13" s="4" customFormat="1" ht="15.5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 spans="1:13" s="4" customFormat="1" ht="15.5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spans="1:13" s="4" customFormat="1" ht="15.5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 spans="1:13" s="4" customFormat="1" ht="15.5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spans="1:13" s="4" customFormat="1" ht="15.5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 spans="1:13" s="4" customFormat="1" ht="15.5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spans="1:13" s="4" customFormat="1" ht="15.5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 spans="1:13" s="4" customFormat="1" ht="15.5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 spans="1:13" s="4" customFormat="1" ht="15.5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 spans="1:13" s="4" customFormat="1" ht="15.5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spans="1:13" s="4" customFormat="1" ht="15.5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spans="1:13" s="4" customFormat="1" ht="15.5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spans="1:13" s="4" customFormat="1" ht="15.5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 spans="1:13" s="4" customFormat="1" ht="15.5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 spans="1:13" s="4" customFormat="1" ht="15.5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 spans="1:13" s="4" customFormat="1" ht="15.5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 spans="1:13" s="4" customFormat="1" ht="15.5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 spans="1:13" s="4" customFormat="1" ht="15.5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spans="1:13" s="4" customFormat="1" ht="15.5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 spans="1:13" s="4" customFormat="1" ht="15.5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 spans="1:13" s="4" customFormat="1" ht="15.5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 spans="1:13" s="4" customFormat="1" ht="15.5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 spans="1:13" s="4" customFormat="1" ht="15.5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spans="1:13" s="4" customFormat="1" ht="15.5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 spans="1:13" s="4" customFormat="1" ht="15.5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 spans="1:13" s="4" customFormat="1" ht="15.5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 spans="1:13" s="4" customFormat="1" ht="15.5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 spans="1:13" s="4" customFormat="1" ht="15.5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 spans="1:13" s="4" customFormat="1" ht="15.5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spans="1:13" s="4" customFormat="1" ht="15.5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spans="1:13" s="4" customFormat="1" ht="15.5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spans="1:13" s="4" customFormat="1" ht="15.5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 spans="1:13" s="4" customFormat="1" ht="15.5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 spans="1:13" s="4" customFormat="1" ht="15.5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spans="1:13" s="4" customFormat="1" ht="15.5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 spans="1:13" s="4" customFormat="1" ht="15.5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 spans="1:13" s="4" customFormat="1" ht="15.5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spans="1:13" s="4" customFormat="1" ht="15.5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 spans="1:13" s="4" customFormat="1" ht="15.5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 spans="1:13" s="4" customFormat="1" ht="15.5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 spans="1:13" s="4" customFormat="1" ht="15.5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spans="1:13" s="4" customFormat="1" ht="15.5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 spans="1:13" s="4" customFormat="1" ht="15.5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spans="1:13" s="4" customFormat="1" ht="15.5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 spans="1:13" s="4" customFormat="1" ht="15.5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spans="1:13" s="4" customFormat="1" ht="15.5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 spans="1:13" s="4" customFormat="1" ht="15.5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 spans="1:13" s="4" customFormat="1" ht="15.5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spans="1:13" s="4" customFormat="1" ht="15.5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spans="1:13" s="4" customFormat="1" ht="15.5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spans="1:13" s="4" customFormat="1" ht="15.5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spans="1:13" s="4" customFormat="1" ht="15.5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 spans="1:13" s="4" customFormat="1" ht="15.5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 spans="1:13" s="4" customFormat="1" ht="15.5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spans="1:13" s="4" customFormat="1" ht="15.5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 spans="1:13" s="4" customFormat="1" ht="15.5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 spans="1:13" s="4" customFormat="1" ht="15.5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 spans="1:13" s="4" customFormat="1" ht="15.5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 spans="1:13" s="4" customFormat="1" ht="15.5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spans="1:13" s="4" customFormat="1" ht="15.5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 spans="1:13" s="4" customFormat="1" ht="15.5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 spans="1:13" s="4" customFormat="1" ht="15.5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 spans="1:13" s="4" customFormat="1" ht="15.5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 spans="1:13" s="4" customFormat="1" ht="15.5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 spans="1:13" s="4" customFormat="1" ht="15.5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 spans="1:13" s="4" customFormat="1" ht="15.5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 spans="1:13" s="4" customFormat="1" ht="15.5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spans="1:13" s="4" customFormat="1" ht="15.5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spans="1:13" s="4" customFormat="1" ht="15.5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spans="1:13" s="4" customFormat="1" ht="15.5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 spans="1:13" s="4" customFormat="1" ht="15.5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spans="1:13" s="4" customFormat="1" ht="15.5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 spans="1:13" s="4" customFormat="1" ht="15.5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 spans="1:13" s="4" customFormat="1" ht="15.5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 spans="1:13" s="4" customFormat="1" ht="15.5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 spans="1:13" s="4" customFormat="1" ht="15.5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 spans="1:13" s="4" customFormat="1" ht="15.5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 spans="1:13" s="4" customFormat="1" ht="15.5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 spans="1:13" s="4" customFormat="1" ht="15.5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spans="1:13" s="4" customFormat="1" ht="15.5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 spans="1:13" s="4" customFormat="1" ht="15.5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 spans="1:13" s="4" customFormat="1" ht="15.5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spans="1:13" s="4" customFormat="1" ht="15.5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spans="1:13" s="4" customFormat="1" ht="15.5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spans="1:13" s="4" customFormat="1" ht="15.5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 spans="1:13" s="4" customFormat="1" ht="15.5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spans="1:13" s="4" customFormat="1" ht="15.5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 spans="1:13" s="4" customFormat="1" ht="15.5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 spans="1:13" s="4" customFormat="1" ht="15.5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 spans="1:13" s="4" customFormat="1" ht="15.5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 spans="1:13" s="4" customFormat="1" ht="15.5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 spans="1:13" s="4" customFormat="1" ht="15.5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spans="1:13" s="4" customFormat="1" ht="15.5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 spans="1:13" s="4" customFormat="1" ht="15.5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 spans="1:13" s="4" customFormat="1" ht="15.5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  <row r="387" spans="1:13" s="4" customFormat="1" ht="15.5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</row>
    <row r="388" spans="1:13" s="4" customFormat="1" ht="15.5" x14ac:dyDescent="0.3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</row>
    <row r="389" spans="1:13" s="4" customFormat="1" ht="15.5" x14ac:dyDescent="0.3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</row>
    <row r="390" spans="1:13" s="4" customFormat="1" ht="15.5" x14ac:dyDescent="0.3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</row>
    <row r="391" spans="1:13" s="4" customFormat="1" ht="15.5" x14ac:dyDescent="0.3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</row>
    <row r="392" spans="1:13" s="4" customFormat="1" ht="15.5" x14ac:dyDescent="0.3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</row>
    <row r="393" spans="1:13" s="4" customFormat="1" ht="15.5" x14ac:dyDescent="0.3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</row>
    <row r="394" spans="1:13" s="4" customFormat="1" ht="15.5" x14ac:dyDescent="0.3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</row>
    <row r="395" spans="1:13" s="4" customFormat="1" ht="15.5" x14ac:dyDescent="0.3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</row>
  </sheetData>
  <mergeCells count="30">
    <mergeCell ref="H15:I15"/>
    <mergeCell ref="A1:K3"/>
    <mergeCell ref="A7:D7"/>
    <mergeCell ref="E7:G7"/>
    <mergeCell ref="J7:K7"/>
    <mergeCell ref="H9:I9"/>
    <mergeCell ref="J9:K9"/>
    <mergeCell ref="A11:C11"/>
    <mergeCell ref="D11:G11"/>
    <mergeCell ref="J11:K11"/>
    <mergeCell ref="D13:E13"/>
    <mergeCell ref="H13:I13"/>
    <mergeCell ref="A17:E18"/>
    <mergeCell ref="G17:I17"/>
    <mergeCell ref="A19:B19"/>
    <mergeCell ref="A26:B26"/>
    <mergeCell ref="A30:B30"/>
    <mergeCell ref="A20:B20"/>
    <mergeCell ref="A21:B21"/>
    <mergeCell ref="A22:B22"/>
    <mergeCell ref="A23:B23"/>
    <mergeCell ref="A24:B24"/>
    <mergeCell ref="A25:B25"/>
    <mergeCell ref="A34:B34"/>
    <mergeCell ref="A33:B33"/>
    <mergeCell ref="A28:B28"/>
    <mergeCell ref="A29:B29"/>
    <mergeCell ref="A27:B27"/>
    <mergeCell ref="A32:B32"/>
    <mergeCell ref="A31:B31"/>
  </mergeCells>
  <dataValidations count="2">
    <dataValidation type="list" allowBlank="1" showInputMessage="1" showErrorMessage="1" sqref="J7:K7" xr:uid="{07B70753-5D4A-4B4D-B229-CBC422B51985}">
      <formula1>mois_bon2</formula1>
    </dataValidation>
    <dataValidation type="list" allowBlank="1" showInputMessage="1" showErrorMessage="1" sqref="E7" xr:uid="{4C3290AB-62F9-4529-ABE1-002DF0968DA7}">
      <formula1>secteur</formula1>
    </dataValidation>
  </dataValidations>
  <pageMargins left="0.7" right="0.7" top="0.75" bottom="0.75" header="0.3" footer="0.3"/>
  <pageSetup paperSize="9" scale="65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36DCD-4CF2-4B14-B96E-565ED971D439}">
  <sheetPr codeName="Feuil43">
    <tabColor rgb="FF7030A0"/>
  </sheetPr>
  <dimension ref="A1:M395"/>
  <sheetViews>
    <sheetView showGridLines="0" topLeftCell="A10" workbookViewId="0">
      <selection activeCell="H50" activeCellId="1" sqref="F54 H50"/>
    </sheetView>
  </sheetViews>
  <sheetFormatPr baseColWidth="10" defaultRowHeight="17.5" x14ac:dyDescent="0.35"/>
  <cols>
    <col min="1" max="1" width="10.90625" style="8"/>
    <col min="2" max="2" width="11.81640625" style="8" customWidth="1"/>
    <col min="3" max="3" width="14.1796875" style="8" customWidth="1"/>
    <col min="4" max="5" width="10.90625" style="8"/>
    <col min="6" max="6" width="3.54296875" style="8" customWidth="1"/>
    <col min="7" max="8" width="10.90625" style="8"/>
    <col min="9" max="9" width="14.453125" style="8" customWidth="1"/>
    <col min="10" max="10" width="10.90625" style="8"/>
    <col min="11" max="11" width="15.26953125" style="8" bestFit="1" customWidth="1"/>
    <col min="12" max="13" width="10.90625" style="8"/>
  </cols>
  <sheetData>
    <row r="1" spans="1:13" ht="7.5" customHeight="1" x14ac:dyDescent="0.35">
      <c r="A1" s="269" t="s">
        <v>50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</row>
    <row r="2" spans="1:13" ht="13.5" customHeight="1" x14ac:dyDescent="0.35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</row>
    <row r="3" spans="1:13" ht="15" hidden="1" customHeight="1" x14ac:dyDescent="0.35">
      <c r="A3" s="269"/>
      <c r="B3" s="269"/>
      <c r="C3" s="269"/>
      <c r="D3" s="269"/>
      <c r="E3" s="269"/>
      <c r="F3" s="269"/>
      <c r="G3" s="269"/>
      <c r="H3" s="269"/>
      <c r="I3" s="269"/>
      <c r="J3" s="269"/>
      <c r="K3" s="269"/>
    </row>
    <row r="4" spans="1:13" ht="5.25" customHeight="1" x14ac:dyDescent="0.35"/>
    <row r="5" spans="1:13" ht="13.5" customHeight="1" x14ac:dyDescent="0.35">
      <c r="A5" s="34" t="s">
        <v>52</v>
      </c>
    </row>
    <row r="6" spans="1:13" ht="5.25" customHeight="1" thickBot="1" x14ac:dyDescent="0.4">
      <c r="A6" s="34"/>
    </row>
    <row r="7" spans="1:13" s="23" customFormat="1" ht="16.5" thickTop="1" thickBot="1" x14ac:dyDescent="0.4">
      <c r="A7" s="270" t="s">
        <v>44</v>
      </c>
      <c r="B7" s="270"/>
      <c r="C7" s="270"/>
      <c r="D7" s="270"/>
      <c r="E7" s="271" t="s">
        <v>28</v>
      </c>
      <c r="F7" s="272"/>
      <c r="G7" s="273"/>
      <c r="I7" s="36" t="s">
        <v>46</v>
      </c>
      <c r="J7" s="274" t="s">
        <v>241</v>
      </c>
      <c r="K7" s="275"/>
      <c r="M7" s="28"/>
    </row>
    <row r="8" spans="1:13" ht="5.25" customHeight="1" thickTop="1" thickBot="1" x14ac:dyDescent="0.4"/>
    <row r="9" spans="1:13" ht="18.5" thickTop="1" thickBot="1" x14ac:dyDescent="0.4">
      <c r="H9" s="267" t="s">
        <v>53</v>
      </c>
      <c r="I9" s="268"/>
      <c r="J9" s="276">
        <v>46275</v>
      </c>
      <c r="K9" s="277"/>
    </row>
    <row r="10" spans="1:13" ht="18.5" thickTop="1" thickBot="1" x14ac:dyDescent="0.4">
      <c r="J10" s="45"/>
      <c r="K10" s="37"/>
    </row>
    <row r="11" spans="1:13" s="3" customFormat="1" ht="16.5" thickTop="1" thickBot="1" x14ac:dyDescent="0.4">
      <c r="A11" s="270" t="s">
        <v>45</v>
      </c>
      <c r="B11" s="270"/>
      <c r="C11" s="270"/>
      <c r="D11" s="271" t="s">
        <v>207</v>
      </c>
      <c r="E11" s="272"/>
      <c r="F11" s="272"/>
      <c r="G11" s="273"/>
      <c r="H11" s="23"/>
      <c r="I11" s="31" t="s">
        <v>47</v>
      </c>
      <c r="J11" s="271"/>
      <c r="K11" s="273"/>
      <c r="L11" s="23"/>
      <c r="M11" s="23"/>
    </row>
    <row r="12" spans="1:13" s="4" customFormat="1" ht="16.5" thickTop="1" thickBot="1" x14ac:dyDescent="0.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s="25" customFormat="1" ht="16.5" thickTop="1" thickBot="1" x14ac:dyDescent="0.4">
      <c r="A13" s="52" t="s">
        <v>76</v>
      </c>
      <c r="B13" s="46"/>
      <c r="C13" s="35">
        <v>4000000</v>
      </c>
      <c r="D13" s="267" t="s">
        <v>49</v>
      </c>
      <c r="E13" s="267"/>
      <c r="F13" s="32">
        <v>12</v>
      </c>
      <c r="G13" s="30" t="s">
        <v>48</v>
      </c>
      <c r="H13" s="278" t="s">
        <v>57</v>
      </c>
      <c r="I13" s="279"/>
      <c r="J13" s="187">
        <f>IF(C13&lt;1000000,F13*1.5%,F13%)</f>
        <v>0.12</v>
      </c>
      <c r="K13" s="24"/>
      <c r="L13" s="24"/>
      <c r="M13" s="24"/>
    </row>
    <row r="14" spans="1:13" s="4" customFormat="1" ht="16.5" thickTop="1" thickBot="1" x14ac:dyDescent="0.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s="3" customFormat="1" ht="16.5" thickTop="1" thickBot="1" x14ac:dyDescent="0.4">
      <c r="A15" s="23"/>
      <c r="B15" s="23"/>
      <c r="C15" s="23"/>
      <c r="D15" s="23"/>
      <c r="E15" s="23"/>
      <c r="F15" s="23"/>
      <c r="G15" s="23"/>
      <c r="H15" s="267" t="s">
        <v>26</v>
      </c>
      <c r="I15" s="268"/>
      <c r="J15" s="27">
        <f>C13*J13</f>
        <v>480000</v>
      </c>
      <c r="K15" s="23"/>
      <c r="L15" s="23"/>
      <c r="M15" s="23"/>
    </row>
    <row r="16" spans="1:13" s="4" customFormat="1" ht="16.5" thickTop="1" thickBot="1" x14ac:dyDescent="0.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s="4" customFormat="1" ht="18.75" customHeight="1" thickTop="1" thickBot="1" x14ac:dyDescent="0.4">
      <c r="A17" s="280" t="s">
        <v>51</v>
      </c>
      <c r="B17" s="280"/>
      <c r="C17" s="280"/>
      <c r="D17" s="280"/>
      <c r="E17" s="280"/>
      <c r="F17" s="15"/>
      <c r="G17" s="282" t="s">
        <v>73</v>
      </c>
      <c r="H17" s="282"/>
      <c r="I17" s="283"/>
      <c r="J17" s="51">
        <f>C13+J15</f>
        <v>4480000</v>
      </c>
      <c r="K17" s="15"/>
      <c r="L17" s="15"/>
      <c r="M17" s="15"/>
    </row>
    <row r="18" spans="1:13" s="4" customFormat="1" ht="13.5" customHeight="1" thickTop="1" thickBot="1" x14ac:dyDescent="0.4">
      <c r="A18" s="281"/>
      <c r="B18" s="281"/>
      <c r="C18" s="281"/>
      <c r="D18" s="281"/>
      <c r="E18" s="281"/>
      <c r="F18" s="15"/>
      <c r="G18" s="15"/>
      <c r="H18" s="15"/>
      <c r="I18" s="15"/>
      <c r="J18" s="15"/>
      <c r="K18" s="15"/>
      <c r="L18" s="15"/>
      <c r="M18" s="15"/>
    </row>
    <row r="19" spans="1:13" s="4" customFormat="1" ht="42.75" customHeight="1" thickTop="1" thickBot="1" x14ac:dyDescent="0.45">
      <c r="A19" s="284" t="s">
        <v>196</v>
      </c>
      <c r="B19" s="285"/>
      <c r="C19" s="38" t="s">
        <v>54</v>
      </c>
      <c r="D19" s="39" t="s">
        <v>55</v>
      </c>
      <c r="E19" s="40" t="s">
        <v>56</v>
      </c>
      <c r="F19" s="15"/>
      <c r="G19" s="26"/>
      <c r="H19" s="15"/>
      <c r="I19" s="15"/>
      <c r="J19" s="15"/>
      <c r="K19" s="15"/>
      <c r="L19" s="15"/>
      <c r="M19" s="15"/>
    </row>
    <row r="20" spans="1:13" s="4" customFormat="1" ht="16" thickBot="1" x14ac:dyDescent="0.4">
      <c r="A20" s="286">
        <v>45870</v>
      </c>
      <c r="B20" s="287"/>
      <c r="C20" s="41"/>
      <c r="D20" s="44"/>
      <c r="E20" s="43">
        <f t="shared" ref="E20:E33" si="0">C20-D20</f>
        <v>0</v>
      </c>
      <c r="F20" s="15"/>
      <c r="G20" s="15"/>
      <c r="H20" s="15"/>
      <c r="I20" s="15"/>
      <c r="J20" s="15"/>
      <c r="K20" s="15"/>
      <c r="L20" s="15"/>
      <c r="M20" s="15"/>
    </row>
    <row r="21" spans="1:13" s="4" customFormat="1" ht="16" thickBot="1" x14ac:dyDescent="0.4">
      <c r="A21" s="286">
        <v>45901</v>
      </c>
      <c r="B21" s="287"/>
      <c r="C21" s="41"/>
      <c r="D21" s="44"/>
      <c r="E21" s="43">
        <f t="shared" si="0"/>
        <v>0</v>
      </c>
      <c r="F21" s="15"/>
      <c r="G21" s="15"/>
      <c r="H21" s="15"/>
      <c r="I21" s="15"/>
      <c r="J21" s="15"/>
      <c r="K21" s="15"/>
      <c r="L21" s="15"/>
      <c r="M21" s="15"/>
    </row>
    <row r="22" spans="1:13" s="4" customFormat="1" ht="16" thickBot="1" x14ac:dyDescent="0.4">
      <c r="A22" s="286">
        <v>45931</v>
      </c>
      <c r="B22" s="287"/>
      <c r="C22" s="41">
        <f t="shared" ref="C22:C24" si="1">J$17/F$13</f>
        <v>373333.33333333331</v>
      </c>
      <c r="D22" s="44"/>
      <c r="E22" s="43">
        <f t="shared" ref="E22:E24" si="2">C22-D22</f>
        <v>373333.33333333331</v>
      </c>
      <c r="F22" s="15"/>
      <c r="G22" s="15"/>
      <c r="H22" s="15"/>
      <c r="I22" s="15"/>
      <c r="J22" s="15"/>
      <c r="K22" s="15"/>
      <c r="L22" s="15"/>
      <c r="M22" s="15"/>
    </row>
    <row r="23" spans="1:13" s="4" customFormat="1" ht="16" thickBot="1" x14ac:dyDescent="0.4">
      <c r="A23" s="286">
        <v>45962</v>
      </c>
      <c r="B23" s="287"/>
      <c r="C23" s="41">
        <f t="shared" si="1"/>
        <v>373333.33333333331</v>
      </c>
      <c r="D23" s="44"/>
      <c r="E23" s="43">
        <f t="shared" si="2"/>
        <v>373333.33333333331</v>
      </c>
      <c r="F23" s="15"/>
      <c r="G23" s="15"/>
      <c r="H23" s="15"/>
      <c r="I23" s="15"/>
      <c r="J23" s="15"/>
      <c r="K23" s="15"/>
      <c r="L23" s="15"/>
      <c r="M23" s="15"/>
    </row>
    <row r="24" spans="1:13" s="4" customFormat="1" ht="16" thickBot="1" x14ac:dyDescent="0.4">
      <c r="A24" s="286">
        <v>45992</v>
      </c>
      <c r="B24" s="287"/>
      <c r="C24" s="41">
        <f t="shared" si="1"/>
        <v>373333.33333333331</v>
      </c>
      <c r="D24" s="44"/>
      <c r="E24" s="43">
        <f t="shared" si="2"/>
        <v>373333.33333333331</v>
      </c>
      <c r="F24" s="15"/>
      <c r="G24" s="15"/>
      <c r="H24" s="15"/>
      <c r="I24" s="15"/>
      <c r="J24" s="15"/>
      <c r="K24" s="15"/>
      <c r="L24" s="15"/>
      <c r="M24" s="15"/>
    </row>
    <row r="25" spans="1:13" s="4" customFormat="1" ht="16" thickBot="1" x14ac:dyDescent="0.4">
      <c r="A25" s="286">
        <v>46023</v>
      </c>
      <c r="B25" s="287"/>
      <c r="C25" s="41">
        <f t="shared" ref="C25:C33" si="3">J$17/F$13</f>
        <v>373333.33333333331</v>
      </c>
      <c r="D25" s="44"/>
      <c r="E25" s="43">
        <f t="shared" si="0"/>
        <v>373333.33333333331</v>
      </c>
      <c r="F25" s="15"/>
      <c r="G25" s="15"/>
      <c r="H25" s="15"/>
      <c r="I25" s="15"/>
      <c r="J25" s="15"/>
      <c r="K25" s="15"/>
      <c r="L25" s="15"/>
      <c r="M25" s="15"/>
    </row>
    <row r="26" spans="1:13" s="4" customFormat="1" ht="16" thickBot="1" x14ac:dyDescent="0.4">
      <c r="A26" s="286">
        <v>46054</v>
      </c>
      <c r="B26" s="287"/>
      <c r="C26" s="41">
        <f t="shared" si="3"/>
        <v>373333.33333333331</v>
      </c>
      <c r="D26" s="44"/>
      <c r="E26" s="43">
        <f t="shared" si="0"/>
        <v>373333.33333333331</v>
      </c>
      <c r="F26" s="15"/>
      <c r="G26" s="15"/>
      <c r="H26" s="15"/>
      <c r="I26" s="15"/>
      <c r="J26" s="15"/>
      <c r="K26" s="15"/>
      <c r="L26" s="15"/>
      <c r="M26" s="15"/>
    </row>
    <row r="27" spans="1:13" s="4" customFormat="1" ht="16" thickBot="1" x14ac:dyDescent="0.4">
      <c r="A27" s="286">
        <v>46082</v>
      </c>
      <c r="B27" s="287"/>
      <c r="C27" s="41">
        <f t="shared" si="3"/>
        <v>373333.33333333331</v>
      </c>
      <c r="D27" s="44"/>
      <c r="E27" s="43">
        <f t="shared" si="0"/>
        <v>373333.33333333331</v>
      </c>
      <c r="F27" s="15"/>
      <c r="G27" s="15"/>
      <c r="H27" s="15"/>
      <c r="I27" s="15"/>
      <c r="J27" s="15"/>
      <c r="K27" s="15"/>
      <c r="L27" s="15"/>
      <c r="M27" s="15"/>
    </row>
    <row r="28" spans="1:13" s="4" customFormat="1" ht="16" thickBot="1" x14ac:dyDescent="0.4">
      <c r="A28" s="286">
        <v>46113</v>
      </c>
      <c r="B28" s="287"/>
      <c r="C28" s="41">
        <f t="shared" si="3"/>
        <v>373333.33333333331</v>
      </c>
      <c r="D28" s="44"/>
      <c r="E28" s="43">
        <f t="shared" si="0"/>
        <v>373333.33333333331</v>
      </c>
      <c r="F28" s="15"/>
      <c r="G28" s="15"/>
      <c r="H28" s="15"/>
      <c r="I28" s="15"/>
      <c r="J28" s="15"/>
      <c r="K28" s="15"/>
      <c r="L28" s="15"/>
      <c r="M28" s="15"/>
    </row>
    <row r="29" spans="1:13" s="4" customFormat="1" ht="16" thickBot="1" x14ac:dyDescent="0.4">
      <c r="A29" s="286">
        <v>46143</v>
      </c>
      <c r="B29" s="287"/>
      <c r="C29" s="41">
        <f t="shared" ref="C29:C31" si="4">J$17/F$13</f>
        <v>373333.33333333331</v>
      </c>
      <c r="D29" s="44"/>
      <c r="E29" s="43">
        <f t="shared" ref="E29:E31" si="5">C29-D29</f>
        <v>373333.33333333331</v>
      </c>
      <c r="F29" s="15"/>
      <c r="G29" s="15"/>
      <c r="H29" s="15"/>
      <c r="I29" s="15"/>
      <c r="J29" s="15"/>
      <c r="K29" s="15"/>
      <c r="L29" s="15"/>
      <c r="M29" s="15"/>
    </row>
    <row r="30" spans="1:13" s="4" customFormat="1" ht="16" thickBot="1" x14ac:dyDescent="0.4">
      <c r="A30" s="286">
        <v>46174</v>
      </c>
      <c r="B30" s="287"/>
      <c r="C30" s="41">
        <f t="shared" si="4"/>
        <v>373333.33333333331</v>
      </c>
      <c r="D30" s="44"/>
      <c r="E30" s="43">
        <f t="shared" si="5"/>
        <v>373333.33333333331</v>
      </c>
      <c r="F30" s="15"/>
      <c r="G30" s="15"/>
      <c r="H30" s="15"/>
      <c r="I30" s="15"/>
      <c r="J30" s="15"/>
      <c r="K30" s="15"/>
      <c r="L30" s="15"/>
      <c r="M30" s="15"/>
    </row>
    <row r="31" spans="1:13" s="4" customFormat="1" ht="16" thickBot="1" x14ac:dyDescent="0.4">
      <c r="A31" s="286">
        <v>46204</v>
      </c>
      <c r="B31" s="287"/>
      <c r="C31" s="41">
        <f t="shared" si="4"/>
        <v>373333.33333333331</v>
      </c>
      <c r="D31" s="44"/>
      <c r="E31" s="43">
        <f t="shared" si="5"/>
        <v>373333.33333333331</v>
      </c>
      <c r="F31" s="15"/>
      <c r="G31" s="15"/>
      <c r="H31" s="15"/>
      <c r="I31" s="15"/>
      <c r="J31" s="15"/>
      <c r="K31" s="15"/>
      <c r="L31" s="15"/>
      <c r="M31" s="15"/>
    </row>
    <row r="32" spans="1:13" s="4" customFormat="1" ht="16" thickBot="1" x14ac:dyDescent="0.4">
      <c r="A32" s="286">
        <v>46235</v>
      </c>
      <c r="B32" s="287"/>
      <c r="C32" s="41">
        <f t="shared" si="3"/>
        <v>373333.33333333331</v>
      </c>
      <c r="D32" s="44"/>
      <c r="E32" s="43">
        <f t="shared" si="0"/>
        <v>373333.33333333331</v>
      </c>
      <c r="F32" s="15"/>
      <c r="G32" s="15"/>
      <c r="H32" s="15"/>
      <c r="I32" s="15"/>
      <c r="J32" s="15"/>
      <c r="K32" s="15"/>
      <c r="L32" s="15"/>
      <c r="M32" s="15"/>
    </row>
    <row r="33" spans="1:13" s="4" customFormat="1" ht="16" thickBot="1" x14ac:dyDescent="0.4">
      <c r="A33" s="286">
        <v>46266</v>
      </c>
      <c r="B33" s="287"/>
      <c r="C33" s="41">
        <f t="shared" si="3"/>
        <v>373333.33333333331</v>
      </c>
      <c r="D33" s="44"/>
      <c r="E33" s="43">
        <f t="shared" si="0"/>
        <v>373333.33333333331</v>
      </c>
      <c r="F33" s="15"/>
      <c r="G33" s="15"/>
      <c r="H33" s="15"/>
      <c r="I33" s="15"/>
      <c r="J33" s="15"/>
      <c r="K33" s="15"/>
      <c r="L33" s="15"/>
      <c r="M33" s="15"/>
    </row>
    <row r="34" spans="1:13" s="3" customFormat="1" ht="20.25" customHeight="1" thickBot="1" x14ac:dyDescent="0.4">
      <c r="A34" s="288" t="s">
        <v>43</v>
      </c>
      <c r="B34" s="289"/>
      <c r="C34" s="29">
        <f>SUM(C20:C33)</f>
        <v>4480000.0000000009</v>
      </c>
      <c r="D34" s="29">
        <f>SUM(D20:D33)</f>
        <v>0</v>
      </c>
      <c r="E34" s="29">
        <f>SUM(E20:E33)</f>
        <v>4480000.0000000009</v>
      </c>
      <c r="F34" s="23"/>
      <c r="G34" s="23"/>
      <c r="H34" s="23"/>
      <c r="I34" s="23"/>
      <c r="J34" s="23"/>
      <c r="K34" s="23"/>
      <c r="L34" s="23"/>
      <c r="M34" s="23"/>
    </row>
    <row r="35" spans="1:13" s="4" customFormat="1" ht="16" thickTop="1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 s="4" customFormat="1" ht="15.5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s="4" customFormat="1" ht="15.5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s="4" customFormat="1" ht="15.5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s="4" customFormat="1" ht="15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s="4" customFormat="1" ht="15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s="4" customFormat="1" ht="15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s="4" customFormat="1" ht="15.5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 s="4" customFormat="1" ht="15.5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s="4" customFormat="1" ht="15.5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s="4" customFormat="1" ht="15.5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s="4" customFormat="1" ht="15.5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s="4" customFormat="1" ht="15.5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s="4" customFormat="1" ht="15.5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s="4" customFormat="1" ht="15.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s="4" customFormat="1" ht="15.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s="4" customFormat="1" ht="15.5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s="4" customFormat="1" ht="15.5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s="4" customFormat="1" ht="15.5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s="4" customFormat="1" ht="15.5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s="4" customFormat="1" ht="15.5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 s="4" customFormat="1" ht="15.5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s="4" customFormat="1" ht="15.5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 s="4" customFormat="1" ht="15.5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s="4" customFormat="1" ht="15.5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s="4" customFormat="1" ht="15.5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s="4" customFormat="1" ht="15.5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 s="4" customFormat="1" ht="15.5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s="4" customFormat="1" ht="15.5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 s="4" customFormat="1" ht="15.5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s="4" customFormat="1" ht="15.5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s="4" customFormat="1" ht="15.5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s="4" customFormat="1" ht="15.5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s="4" customFormat="1" ht="15.5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s="4" customFormat="1" ht="15.5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s="4" customFormat="1" ht="15.5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s="4" customFormat="1" ht="15.5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s="4" customFormat="1" ht="15.5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s="4" customFormat="1" ht="15.5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s="4" customFormat="1" ht="15.5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 s="4" customFormat="1" ht="15.5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s="4" customFormat="1" ht="15.5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s="4" customFormat="1" ht="15.5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 s="4" customFormat="1" ht="15.5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s="4" customFormat="1" ht="15.5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s="4" customFormat="1" ht="15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s="4" customFormat="1" ht="15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s="4" customFormat="1" ht="15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 s="4" customFormat="1" ht="15.5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s="4" customFormat="1" ht="15.5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1:13" s="4" customFormat="1" ht="15.5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1:13" s="4" customFormat="1" ht="15.5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 s="4" customFormat="1" ht="15.5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 s="4" customFormat="1" ht="15.5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s="4" customFormat="1" ht="15.5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 s="4" customFormat="1" ht="15.5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 s="4" customFormat="1" ht="15.5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 s="4" customFormat="1" ht="15.5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 s="4" customFormat="1" ht="15.5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1:13" s="4" customFormat="1" ht="15.5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s="4" customFormat="1" ht="15.5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 s="4" customFormat="1" ht="15.5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s="4" customFormat="1" ht="15.5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s="4" customFormat="1" ht="15.5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1:13" s="4" customFormat="1" ht="15.5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 s="4" customFormat="1" ht="15.5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s="4" customFormat="1" ht="15.5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1:13" s="4" customFormat="1" ht="15.5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s="4" customFormat="1" ht="15.5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s="4" customFormat="1" ht="15.5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1:13" s="4" customFormat="1" ht="15.5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1:13" s="4" customFormat="1" ht="15.5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1:13" s="4" customFormat="1" ht="15.5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 s="4" customFormat="1" ht="15.5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1:13" s="4" customFormat="1" ht="15.5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s="4" customFormat="1" ht="15.5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1:13" s="4" customFormat="1" ht="15.5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 s="4" customFormat="1" ht="15.5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1:13" s="4" customFormat="1" ht="15.5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 s="4" customFormat="1" ht="15.5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 s="4" customFormat="1" ht="15.5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 s="4" customFormat="1" ht="15.5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 s="4" customFormat="1" ht="15.5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 s="4" customFormat="1" ht="15.5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 s="4" customFormat="1" ht="15.5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 s="4" customFormat="1" ht="15.5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 s="4" customFormat="1" ht="15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1:13" s="4" customFormat="1" ht="15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1:13" s="4" customFormat="1" ht="15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1:13" s="4" customFormat="1" ht="15.5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1:13" s="4" customFormat="1" ht="15.5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1:13" s="4" customFormat="1" ht="15.5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 s="4" customFormat="1" ht="15.5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1:13" s="4" customFormat="1" ht="15.5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s="4" customFormat="1" ht="15.5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3" s="4" customFormat="1" ht="15.5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1:13" s="4" customFormat="1" ht="15.5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 s="4" customFormat="1" ht="15.5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 s="4" customFormat="1" ht="15.5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 s="4" customFormat="1" ht="15.5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 s="4" customFormat="1" ht="15.5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 s="4" customFormat="1" ht="15.5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1:13" s="4" customFormat="1" ht="15.5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1:13" s="4" customFormat="1" ht="15.5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1:13" s="4" customFormat="1" ht="15.5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 s="4" customFormat="1" ht="15.5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1:13" s="4" customFormat="1" ht="15.5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 s="4" customFormat="1" ht="15.5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 s="4" customFormat="1" ht="15.5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1:13" s="4" customFormat="1" ht="15.5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1:13" s="4" customFormat="1" ht="15.5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 s="4" customFormat="1" ht="15.5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1:13" s="4" customFormat="1" ht="15.5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 s="4" customFormat="1" ht="15.5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1:13" s="4" customFormat="1" ht="15.5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1:13" s="4" customFormat="1" ht="15.5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 s="4" customFormat="1" ht="15.5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 s="4" customFormat="1" ht="15.5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s="4" customFormat="1" ht="15.5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 s="4" customFormat="1" ht="15.5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1:13" s="4" customFormat="1" ht="15.5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 s="4" customFormat="1" ht="15.5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spans="1:13" s="4" customFormat="1" ht="15.5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spans="1:13" s="4" customFormat="1" ht="15.5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spans="1:13" s="4" customFormat="1" ht="15.5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1:13" s="4" customFormat="1" ht="15.5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1:13" s="4" customFormat="1" ht="15.5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1:13" s="4" customFormat="1" ht="15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1:13" s="4" customFormat="1" ht="15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1:13" s="4" customFormat="1" ht="15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spans="1:13" s="4" customFormat="1" ht="15.5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1:13" s="4" customFormat="1" ht="15.5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1:13" s="4" customFormat="1" ht="15.5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spans="1:13" s="4" customFormat="1" ht="15.5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spans="1:13" s="4" customFormat="1" ht="15.5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spans="1:13" s="4" customFormat="1" ht="15.5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spans="1:13" s="4" customFormat="1" ht="15.5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spans="1:13" s="4" customFormat="1" ht="15.5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spans="1:13" s="4" customFormat="1" ht="15.5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spans="1:13" s="4" customFormat="1" ht="15.5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spans="1:13" s="4" customFormat="1" ht="15.5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spans="1:13" s="4" customFormat="1" ht="15.5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spans="1:13" s="4" customFormat="1" ht="15.5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1:13" s="4" customFormat="1" ht="15.5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spans="1:13" s="4" customFormat="1" ht="15.5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1:13" s="4" customFormat="1" ht="15.5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spans="1:13" s="4" customFormat="1" ht="15.5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1:13" s="4" customFormat="1" ht="15.5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spans="1:13" s="4" customFormat="1" ht="15.5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1:13" s="4" customFormat="1" ht="15.5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spans="1:13" s="4" customFormat="1" ht="15.5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spans="1:13" s="4" customFormat="1" ht="15.5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spans="1:13" s="4" customFormat="1" ht="15.5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1:13" s="4" customFormat="1" ht="15.5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spans="1:13" s="4" customFormat="1" ht="15.5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1:13" s="4" customFormat="1" ht="15.5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spans="1:13" s="4" customFormat="1" ht="15.5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spans="1:13" s="4" customFormat="1" ht="15.5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spans="1:13" s="4" customFormat="1" ht="15.5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spans="1:13" s="4" customFormat="1" ht="15.5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spans="1:13" s="4" customFormat="1" ht="15.5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1:13" s="4" customFormat="1" ht="15.5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spans="1:13" s="4" customFormat="1" ht="15.5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spans="1:13" s="4" customFormat="1" ht="15.5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1:13" s="4" customFormat="1" ht="15.5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1:13" s="4" customFormat="1" ht="15.5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1:13" s="4" customFormat="1" ht="15.5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spans="1:13" s="4" customFormat="1" ht="15.5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spans="1:13" s="4" customFormat="1" ht="15.5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  <row r="204" spans="1:13" s="4" customFormat="1" ht="15.5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</row>
    <row r="205" spans="1:13" s="4" customFormat="1" ht="15.5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</row>
    <row r="206" spans="1:13" s="4" customFormat="1" ht="15.5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1:13" s="4" customFormat="1" ht="15.5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spans="1:13" s="4" customFormat="1" ht="15.5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1:13" s="4" customFormat="1" ht="15.5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</row>
    <row r="210" spans="1:13" s="4" customFormat="1" ht="15.5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</row>
    <row r="211" spans="1:13" s="4" customFormat="1" ht="15.5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</row>
    <row r="212" spans="1:13" s="4" customFormat="1" ht="15.5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spans="1:13" s="4" customFormat="1" ht="15.5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</row>
    <row r="214" spans="1:13" s="4" customFormat="1" ht="15.5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spans="1:13" s="4" customFormat="1" ht="15.5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spans="1:13" s="4" customFormat="1" ht="15.5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spans="1:13" s="4" customFormat="1" ht="15.5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spans="1:13" s="4" customFormat="1" ht="15.5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spans="1:13" s="4" customFormat="1" ht="15.5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spans="1:13" s="4" customFormat="1" ht="15.5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spans="1:13" s="4" customFormat="1" ht="15.5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spans="1:13" s="4" customFormat="1" ht="15.5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spans="1:13" s="4" customFormat="1" ht="15.5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spans="1:13" s="4" customFormat="1" ht="15.5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5" spans="1:13" s="4" customFormat="1" ht="15.5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spans="1:13" s="4" customFormat="1" ht="15.5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27" spans="1:13" s="4" customFormat="1" ht="15.5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spans="1:13" s="4" customFormat="1" ht="15.5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spans="1:13" s="4" customFormat="1" ht="15.5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spans="1:13" s="4" customFormat="1" ht="15.5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</row>
    <row r="231" spans="1:13" s="4" customFormat="1" ht="15.5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</row>
    <row r="232" spans="1:13" s="4" customFormat="1" ht="15.5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</row>
    <row r="233" spans="1:13" s="4" customFormat="1" ht="15.5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</row>
    <row r="234" spans="1:13" s="4" customFormat="1" ht="15.5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spans="1:13" s="4" customFormat="1" ht="15.5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</row>
    <row r="236" spans="1:13" s="4" customFormat="1" ht="15.5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spans="1:13" s="4" customFormat="1" ht="15.5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</row>
    <row r="238" spans="1:13" s="4" customFormat="1" ht="15.5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spans="1:13" s="4" customFormat="1" ht="15.5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</row>
    <row r="240" spans="1:13" s="4" customFormat="1" ht="15.5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spans="1:13" s="4" customFormat="1" ht="15.5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</row>
    <row r="242" spans="1:13" s="4" customFormat="1" ht="15.5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3" spans="1:13" s="4" customFormat="1" ht="15.5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</row>
    <row r="244" spans="1:13" s="4" customFormat="1" ht="15.5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1:13" s="4" customFormat="1" ht="15.5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spans="1:13" s="4" customFormat="1" ht="15.5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spans="1:13" s="4" customFormat="1" ht="15.5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spans="1:13" s="4" customFormat="1" ht="15.5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spans="1:13" s="4" customFormat="1" ht="15.5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spans="1:13" s="4" customFormat="1" ht="15.5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</row>
    <row r="251" spans="1:13" s="4" customFormat="1" ht="15.5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spans="1:13" s="4" customFormat="1" ht="15.5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spans="1:13" s="4" customFormat="1" ht="15.5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</row>
    <row r="254" spans="1:13" s="4" customFormat="1" ht="15.5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spans="1:13" s="4" customFormat="1" ht="15.5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</row>
    <row r="256" spans="1:13" s="4" customFormat="1" ht="15.5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</row>
    <row r="257" spans="1:13" s="4" customFormat="1" ht="15.5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spans="1:13" s="4" customFormat="1" ht="15.5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</row>
    <row r="259" spans="1:13" s="4" customFormat="1" ht="15.5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spans="1:13" s="4" customFormat="1" ht="15.5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spans="1:13" s="4" customFormat="1" ht="15.5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spans="1:13" s="4" customFormat="1" ht="15.5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spans="1:13" s="4" customFormat="1" ht="15.5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spans="1:13" s="4" customFormat="1" ht="15.5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spans="1:13" s="4" customFormat="1" ht="15.5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spans="1:13" s="4" customFormat="1" ht="15.5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spans="1:13" s="4" customFormat="1" ht="15.5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</row>
    <row r="268" spans="1:13" s="4" customFormat="1" ht="15.5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spans="1:13" s="4" customFormat="1" ht="15.5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</row>
    <row r="270" spans="1:13" s="4" customFormat="1" ht="15.5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</row>
    <row r="271" spans="1:13" s="4" customFormat="1" ht="15.5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</row>
    <row r="272" spans="1:13" s="4" customFormat="1" ht="15.5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spans="1:13" s="4" customFormat="1" ht="15.5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spans="1:13" s="4" customFormat="1" ht="15.5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</row>
    <row r="275" spans="1:13" s="4" customFormat="1" ht="15.5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</row>
    <row r="276" spans="1:13" s="4" customFormat="1" ht="15.5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spans="1:13" s="4" customFormat="1" ht="15.5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 spans="1:13" s="4" customFormat="1" ht="15.5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 spans="1:13" s="4" customFormat="1" ht="15.5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 spans="1:13" s="4" customFormat="1" ht="15.5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spans="1:13" s="4" customFormat="1" ht="15.5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 spans="1:13" s="4" customFormat="1" ht="15.5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spans="1:13" s="4" customFormat="1" ht="15.5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spans="1:13" s="4" customFormat="1" ht="15.5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spans="1:13" s="4" customFormat="1" ht="15.5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spans="1:13" s="4" customFormat="1" ht="15.5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 spans="1:13" s="4" customFormat="1" ht="15.5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 spans="1:13" s="4" customFormat="1" ht="15.5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 spans="1:13" s="4" customFormat="1" ht="15.5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spans="1:13" s="4" customFormat="1" ht="15.5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 spans="1:13" s="4" customFormat="1" ht="15.5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 spans="1:13" s="4" customFormat="1" ht="15.5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 spans="1:13" s="4" customFormat="1" ht="15.5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spans="1:13" s="4" customFormat="1" ht="15.5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 spans="1:13" s="4" customFormat="1" ht="15.5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spans="1:13" s="4" customFormat="1" ht="15.5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 spans="1:13" s="4" customFormat="1" ht="15.5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spans="1:13" s="4" customFormat="1" ht="15.5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 spans="1:13" s="4" customFormat="1" ht="15.5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 spans="1:13" s="4" customFormat="1" ht="15.5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 spans="1:13" s="4" customFormat="1" ht="15.5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spans="1:13" s="4" customFormat="1" ht="15.5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spans="1:13" s="4" customFormat="1" ht="15.5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spans="1:13" s="4" customFormat="1" ht="15.5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 spans="1:13" s="4" customFormat="1" ht="15.5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 spans="1:13" s="4" customFormat="1" ht="15.5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 spans="1:13" s="4" customFormat="1" ht="15.5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 spans="1:13" s="4" customFormat="1" ht="15.5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 spans="1:13" s="4" customFormat="1" ht="15.5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spans="1:13" s="4" customFormat="1" ht="15.5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 spans="1:13" s="4" customFormat="1" ht="15.5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 spans="1:13" s="4" customFormat="1" ht="15.5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 spans="1:13" s="4" customFormat="1" ht="15.5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 spans="1:13" s="4" customFormat="1" ht="15.5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spans="1:13" s="4" customFormat="1" ht="15.5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 spans="1:13" s="4" customFormat="1" ht="15.5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 spans="1:13" s="4" customFormat="1" ht="15.5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 spans="1:13" s="4" customFormat="1" ht="15.5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 spans="1:13" s="4" customFormat="1" ht="15.5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 spans="1:13" s="4" customFormat="1" ht="15.5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spans="1:13" s="4" customFormat="1" ht="15.5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spans="1:13" s="4" customFormat="1" ht="15.5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spans="1:13" s="4" customFormat="1" ht="15.5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 spans="1:13" s="4" customFormat="1" ht="15.5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 spans="1:13" s="4" customFormat="1" ht="15.5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spans="1:13" s="4" customFormat="1" ht="15.5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 spans="1:13" s="4" customFormat="1" ht="15.5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 spans="1:13" s="4" customFormat="1" ht="15.5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spans="1:13" s="4" customFormat="1" ht="15.5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 spans="1:13" s="4" customFormat="1" ht="15.5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 spans="1:13" s="4" customFormat="1" ht="15.5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 spans="1:13" s="4" customFormat="1" ht="15.5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spans="1:13" s="4" customFormat="1" ht="15.5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 spans="1:13" s="4" customFormat="1" ht="15.5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spans="1:13" s="4" customFormat="1" ht="15.5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 spans="1:13" s="4" customFormat="1" ht="15.5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spans="1:13" s="4" customFormat="1" ht="15.5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 spans="1:13" s="4" customFormat="1" ht="15.5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 spans="1:13" s="4" customFormat="1" ht="15.5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spans="1:13" s="4" customFormat="1" ht="15.5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spans="1:13" s="4" customFormat="1" ht="15.5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spans="1:13" s="4" customFormat="1" ht="15.5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spans="1:13" s="4" customFormat="1" ht="15.5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 spans="1:13" s="4" customFormat="1" ht="15.5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 spans="1:13" s="4" customFormat="1" ht="15.5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spans="1:13" s="4" customFormat="1" ht="15.5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 spans="1:13" s="4" customFormat="1" ht="15.5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 spans="1:13" s="4" customFormat="1" ht="15.5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 spans="1:13" s="4" customFormat="1" ht="15.5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 spans="1:13" s="4" customFormat="1" ht="15.5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spans="1:13" s="4" customFormat="1" ht="15.5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 spans="1:13" s="4" customFormat="1" ht="15.5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 spans="1:13" s="4" customFormat="1" ht="15.5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 spans="1:13" s="4" customFormat="1" ht="15.5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 spans="1:13" s="4" customFormat="1" ht="15.5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 spans="1:13" s="4" customFormat="1" ht="15.5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 spans="1:13" s="4" customFormat="1" ht="15.5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 spans="1:13" s="4" customFormat="1" ht="15.5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spans="1:13" s="4" customFormat="1" ht="15.5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spans="1:13" s="4" customFormat="1" ht="15.5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spans="1:13" s="4" customFormat="1" ht="15.5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 spans="1:13" s="4" customFormat="1" ht="15.5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spans="1:13" s="4" customFormat="1" ht="15.5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 spans="1:13" s="4" customFormat="1" ht="15.5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 spans="1:13" s="4" customFormat="1" ht="15.5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 spans="1:13" s="4" customFormat="1" ht="15.5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 spans="1:13" s="4" customFormat="1" ht="15.5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 spans="1:13" s="4" customFormat="1" ht="15.5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 spans="1:13" s="4" customFormat="1" ht="15.5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 spans="1:13" s="4" customFormat="1" ht="15.5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spans="1:13" s="4" customFormat="1" ht="15.5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 spans="1:13" s="4" customFormat="1" ht="15.5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 spans="1:13" s="4" customFormat="1" ht="15.5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spans="1:13" s="4" customFormat="1" ht="15.5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spans="1:13" s="4" customFormat="1" ht="15.5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spans="1:13" s="4" customFormat="1" ht="15.5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 spans="1:13" s="4" customFormat="1" ht="15.5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spans="1:13" s="4" customFormat="1" ht="15.5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 spans="1:13" s="4" customFormat="1" ht="15.5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 spans="1:13" s="4" customFormat="1" ht="15.5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 spans="1:13" s="4" customFormat="1" ht="15.5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 spans="1:13" s="4" customFormat="1" ht="15.5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 spans="1:13" s="4" customFormat="1" ht="15.5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spans="1:13" s="4" customFormat="1" ht="15.5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 spans="1:13" s="4" customFormat="1" ht="15.5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 spans="1:13" s="4" customFormat="1" ht="15.5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  <row r="387" spans="1:13" s="4" customFormat="1" ht="15.5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</row>
    <row r="388" spans="1:13" s="4" customFormat="1" ht="15.5" x14ac:dyDescent="0.3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</row>
    <row r="389" spans="1:13" s="4" customFormat="1" ht="15.5" x14ac:dyDescent="0.3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</row>
    <row r="390" spans="1:13" s="4" customFormat="1" ht="15.5" x14ac:dyDescent="0.3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</row>
    <row r="391" spans="1:13" s="4" customFormat="1" ht="15.5" x14ac:dyDescent="0.3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</row>
    <row r="392" spans="1:13" s="4" customFormat="1" ht="15.5" x14ac:dyDescent="0.3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</row>
    <row r="393" spans="1:13" s="4" customFormat="1" ht="15.5" x14ac:dyDescent="0.3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</row>
    <row r="394" spans="1:13" s="4" customFormat="1" ht="15.5" x14ac:dyDescent="0.3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</row>
    <row r="395" spans="1:13" s="4" customFormat="1" ht="15.5" x14ac:dyDescent="0.3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</row>
  </sheetData>
  <mergeCells count="30">
    <mergeCell ref="A30:B30"/>
    <mergeCell ref="A31:B31"/>
    <mergeCell ref="H15:I15"/>
    <mergeCell ref="A1:K3"/>
    <mergeCell ref="A7:D7"/>
    <mergeCell ref="E7:G7"/>
    <mergeCell ref="J7:K7"/>
    <mergeCell ref="H9:I9"/>
    <mergeCell ref="J9:K9"/>
    <mergeCell ref="A11:C11"/>
    <mergeCell ref="D11:G11"/>
    <mergeCell ref="J11:K11"/>
    <mergeCell ref="D13:E13"/>
    <mergeCell ref="H13:I13"/>
    <mergeCell ref="A34:B34"/>
    <mergeCell ref="A29:B29"/>
    <mergeCell ref="A17:E18"/>
    <mergeCell ref="G17:I17"/>
    <mergeCell ref="A19:B19"/>
    <mergeCell ref="A20:B20"/>
    <mergeCell ref="A21:B21"/>
    <mergeCell ref="A25:B25"/>
    <mergeCell ref="A26:B26"/>
    <mergeCell ref="A27:B27"/>
    <mergeCell ref="A28:B28"/>
    <mergeCell ref="A32:B32"/>
    <mergeCell ref="A33:B33"/>
    <mergeCell ref="A22:B22"/>
    <mergeCell ref="A23:B23"/>
    <mergeCell ref="A24:B24"/>
  </mergeCells>
  <dataValidations count="2">
    <dataValidation type="list" allowBlank="1" showInputMessage="1" showErrorMessage="1" sqref="J7:K7" xr:uid="{FF051E04-3CE4-402A-ACF6-B09320A7AA33}">
      <formula1>mois_bon2</formula1>
    </dataValidation>
    <dataValidation type="list" allowBlank="1" showInputMessage="1" showErrorMessage="1" sqref="E7" xr:uid="{086B8ADB-1736-49F6-B654-9BE6356A7EAC}">
      <formula1>secteur</formula1>
    </dataValidation>
  </dataValidations>
  <pageMargins left="0.7" right="0.7" top="0.75" bottom="0.75" header="0.3" footer="0.3"/>
  <pageSetup paperSize="9" scale="65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541BF-C209-4CE6-8378-A35834F1FDD1}">
  <sheetPr codeName="Feuil42">
    <tabColor rgb="FF7030A0"/>
  </sheetPr>
  <dimension ref="A1:M395"/>
  <sheetViews>
    <sheetView showGridLines="0" topLeftCell="A5" zoomScale="70" zoomScaleNormal="70" workbookViewId="0">
      <selection activeCell="H50" activeCellId="1" sqref="F54 H50"/>
    </sheetView>
  </sheetViews>
  <sheetFormatPr baseColWidth="10" defaultRowHeight="17.5" x14ac:dyDescent="0.35"/>
  <cols>
    <col min="1" max="1" width="10.90625" style="8"/>
    <col min="2" max="2" width="11.81640625" style="8" customWidth="1"/>
    <col min="3" max="3" width="14.1796875" style="8" customWidth="1"/>
    <col min="4" max="5" width="10.90625" style="8"/>
    <col min="6" max="6" width="3.54296875" style="8" customWidth="1"/>
    <col min="7" max="8" width="10.90625" style="8"/>
    <col min="9" max="9" width="14.453125" style="8" customWidth="1"/>
    <col min="10" max="10" width="10.90625" style="8"/>
    <col min="11" max="11" width="15.26953125" style="8" bestFit="1" customWidth="1"/>
    <col min="12" max="13" width="10.90625" style="8"/>
  </cols>
  <sheetData>
    <row r="1" spans="1:13" ht="7.5" customHeight="1" x14ac:dyDescent="0.35">
      <c r="A1" s="269" t="s">
        <v>50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</row>
    <row r="2" spans="1:13" ht="13.5" customHeight="1" x14ac:dyDescent="0.35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</row>
    <row r="3" spans="1:13" ht="15" hidden="1" customHeight="1" x14ac:dyDescent="0.35">
      <c r="A3" s="269"/>
      <c r="B3" s="269"/>
      <c r="C3" s="269"/>
      <c r="D3" s="269"/>
      <c r="E3" s="269"/>
      <c r="F3" s="269"/>
      <c r="G3" s="269"/>
      <c r="H3" s="269"/>
      <c r="I3" s="269"/>
      <c r="J3" s="269"/>
      <c r="K3" s="269"/>
    </row>
    <row r="4" spans="1:13" ht="5.25" customHeight="1" x14ac:dyDescent="0.35"/>
    <row r="5" spans="1:13" ht="13.5" customHeight="1" x14ac:dyDescent="0.35">
      <c r="A5" s="34" t="s">
        <v>52</v>
      </c>
    </row>
    <row r="6" spans="1:13" ht="5.25" customHeight="1" thickBot="1" x14ac:dyDescent="0.4">
      <c r="A6" s="34"/>
    </row>
    <row r="7" spans="1:13" s="23" customFormat="1" ht="16.5" thickTop="1" thickBot="1" x14ac:dyDescent="0.4">
      <c r="A7" s="270" t="s">
        <v>44</v>
      </c>
      <c r="B7" s="270"/>
      <c r="C7" s="270"/>
      <c r="D7" s="270"/>
      <c r="E7" s="271" t="s">
        <v>30</v>
      </c>
      <c r="F7" s="272"/>
      <c r="G7" s="273"/>
      <c r="I7" s="36" t="s">
        <v>46</v>
      </c>
      <c r="J7" s="274" t="s">
        <v>241</v>
      </c>
      <c r="K7" s="275"/>
      <c r="M7" s="28"/>
    </row>
    <row r="8" spans="1:13" ht="5.25" customHeight="1" thickTop="1" thickBot="1" x14ac:dyDescent="0.4"/>
    <row r="9" spans="1:13" ht="18.5" thickTop="1" thickBot="1" x14ac:dyDescent="0.4">
      <c r="H9" s="267" t="s">
        <v>53</v>
      </c>
      <c r="I9" s="268"/>
      <c r="J9" s="290">
        <v>46275</v>
      </c>
      <c r="K9" s="291"/>
    </row>
    <row r="10" spans="1:13" ht="18.5" thickTop="1" thickBot="1" x14ac:dyDescent="0.4">
      <c r="J10" s="45"/>
      <c r="K10" s="37"/>
    </row>
    <row r="11" spans="1:13" s="3" customFormat="1" ht="16.5" thickTop="1" thickBot="1" x14ac:dyDescent="0.4">
      <c r="A11" s="270" t="s">
        <v>45</v>
      </c>
      <c r="B11" s="270"/>
      <c r="C11" s="270"/>
      <c r="D11" s="271" t="s">
        <v>204</v>
      </c>
      <c r="E11" s="272"/>
      <c r="F11" s="272"/>
      <c r="G11" s="273"/>
      <c r="H11" s="23"/>
      <c r="I11" s="31" t="s">
        <v>47</v>
      </c>
      <c r="J11" s="271"/>
      <c r="K11" s="273"/>
      <c r="L11" s="23"/>
      <c r="M11" s="23"/>
    </row>
    <row r="12" spans="1:13" s="4" customFormat="1" ht="16.5" thickTop="1" thickBot="1" x14ac:dyDescent="0.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s="25" customFormat="1" ht="16.5" thickTop="1" thickBot="1" x14ac:dyDescent="0.4">
      <c r="A13" s="52" t="s">
        <v>76</v>
      </c>
      <c r="B13" s="46"/>
      <c r="C13" s="35">
        <v>1150000</v>
      </c>
      <c r="D13" s="267" t="s">
        <v>49</v>
      </c>
      <c r="E13" s="267"/>
      <c r="F13" s="179">
        <v>12</v>
      </c>
      <c r="G13" s="30" t="s">
        <v>48</v>
      </c>
      <c r="H13" s="278" t="s">
        <v>57</v>
      </c>
      <c r="I13" s="279"/>
      <c r="J13" s="187">
        <f>IF(C13&lt;1000000,F13*1.5%,F13%)</f>
        <v>0.12</v>
      </c>
      <c r="K13" s="24"/>
      <c r="L13" s="24"/>
      <c r="M13" s="24"/>
    </row>
    <row r="14" spans="1:13" s="4" customFormat="1" ht="16.5" thickTop="1" thickBot="1" x14ac:dyDescent="0.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s="3" customFormat="1" ht="16.5" thickTop="1" thickBot="1" x14ac:dyDescent="0.4">
      <c r="A15" s="23"/>
      <c r="B15" s="23"/>
      <c r="C15" s="23"/>
      <c r="D15" s="23"/>
      <c r="E15" s="23"/>
      <c r="F15" s="23"/>
      <c r="G15" s="23"/>
      <c r="H15" s="267" t="s">
        <v>26</v>
      </c>
      <c r="I15" s="268"/>
      <c r="J15" s="27">
        <f>C13*J13</f>
        <v>138000</v>
      </c>
      <c r="K15" s="23"/>
      <c r="L15" s="23"/>
      <c r="M15" s="23"/>
    </row>
    <row r="16" spans="1:13" s="4" customFormat="1" ht="16.5" thickTop="1" thickBot="1" x14ac:dyDescent="0.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s="4" customFormat="1" ht="18.75" customHeight="1" thickTop="1" thickBot="1" x14ac:dyDescent="0.4">
      <c r="A17" s="280" t="s">
        <v>51</v>
      </c>
      <c r="B17" s="280"/>
      <c r="C17" s="280"/>
      <c r="D17" s="280"/>
      <c r="E17" s="280"/>
      <c r="F17" s="15"/>
      <c r="G17" s="282" t="s">
        <v>73</v>
      </c>
      <c r="H17" s="282"/>
      <c r="I17" s="283"/>
      <c r="J17" s="51">
        <f>C13+J15</f>
        <v>1288000</v>
      </c>
      <c r="K17" s="15"/>
      <c r="L17" s="15"/>
      <c r="M17" s="15"/>
    </row>
    <row r="18" spans="1:13" s="4" customFormat="1" ht="13.5" customHeight="1" thickTop="1" thickBot="1" x14ac:dyDescent="0.4">
      <c r="A18" s="281"/>
      <c r="B18" s="281"/>
      <c r="C18" s="281"/>
      <c r="D18" s="281"/>
      <c r="E18" s="281"/>
      <c r="F18" s="15"/>
      <c r="G18" s="15"/>
      <c r="H18" s="15"/>
      <c r="I18" s="15"/>
      <c r="J18" s="15"/>
      <c r="K18" s="15"/>
      <c r="L18" s="15"/>
      <c r="M18" s="15"/>
    </row>
    <row r="19" spans="1:13" s="4" customFormat="1" ht="42.75" customHeight="1" thickTop="1" thickBot="1" x14ac:dyDescent="0.45">
      <c r="A19" s="284" t="s">
        <v>196</v>
      </c>
      <c r="B19" s="285"/>
      <c r="C19" s="38" t="s">
        <v>54</v>
      </c>
      <c r="D19" s="39" t="s">
        <v>55</v>
      </c>
      <c r="E19" s="40" t="s">
        <v>56</v>
      </c>
      <c r="F19" s="15"/>
      <c r="G19" s="26"/>
      <c r="H19" s="15"/>
      <c r="I19" s="15"/>
      <c r="J19" s="15"/>
      <c r="K19" s="15"/>
      <c r="L19" s="15"/>
      <c r="M19" s="15"/>
    </row>
    <row r="20" spans="1:13" s="4" customFormat="1" ht="16" thickBot="1" x14ac:dyDescent="0.4">
      <c r="A20" s="286">
        <v>45870</v>
      </c>
      <c r="B20" s="287"/>
      <c r="C20" s="41"/>
      <c r="D20" s="44"/>
      <c r="E20" s="43">
        <f t="shared" ref="E20:E33" si="0">C20-D20</f>
        <v>0</v>
      </c>
      <c r="F20" s="15"/>
      <c r="G20" s="15"/>
      <c r="H20" s="15"/>
      <c r="I20" s="15"/>
      <c r="J20" s="15"/>
      <c r="K20" s="15"/>
      <c r="L20" s="15"/>
      <c r="M20" s="15"/>
    </row>
    <row r="21" spans="1:13" s="4" customFormat="1" ht="16" thickBot="1" x14ac:dyDescent="0.4">
      <c r="A21" s="286">
        <v>45901</v>
      </c>
      <c r="B21" s="287"/>
      <c r="C21" s="41"/>
      <c r="D21" s="44"/>
      <c r="E21" s="43">
        <f t="shared" si="0"/>
        <v>0</v>
      </c>
      <c r="F21" s="15"/>
      <c r="G21" s="15"/>
      <c r="H21" s="15"/>
      <c r="I21" s="15"/>
      <c r="J21" s="15"/>
      <c r="K21" s="15"/>
      <c r="L21" s="15"/>
      <c r="M21" s="15"/>
    </row>
    <row r="22" spans="1:13" s="4" customFormat="1" ht="16" thickBot="1" x14ac:dyDescent="0.4">
      <c r="A22" s="286">
        <v>45931</v>
      </c>
      <c r="B22" s="287"/>
      <c r="C22" s="41">
        <f t="shared" ref="C22:C27" si="1">J$17/F$13</f>
        <v>107333.33333333333</v>
      </c>
      <c r="D22" s="44"/>
      <c r="E22" s="43">
        <f t="shared" si="0"/>
        <v>107333.33333333333</v>
      </c>
      <c r="F22" s="15"/>
      <c r="G22" s="15"/>
      <c r="H22" s="15"/>
      <c r="I22" s="15"/>
      <c r="J22" s="15"/>
      <c r="K22" s="15"/>
      <c r="L22" s="15"/>
      <c r="M22" s="15"/>
    </row>
    <row r="23" spans="1:13" s="4" customFormat="1" ht="16" thickBot="1" x14ac:dyDescent="0.4">
      <c r="A23" s="286">
        <v>45962</v>
      </c>
      <c r="B23" s="287"/>
      <c r="C23" s="41">
        <f t="shared" si="1"/>
        <v>107333.33333333333</v>
      </c>
      <c r="D23" s="44"/>
      <c r="E23" s="43">
        <f t="shared" si="0"/>
        <v>107333.33333333333</v>
      </c>
      <c r="F23" s="15"/>
      <c r="G23" s="15"/>
      <c r="H23" s="15"/>
      <c r="I23" s="15"/>
      <c r="J23" s="15"/>
      <c r="K23" s="15"/>
      <c r="L23" s="15"/>
      <c r="M23" s="15"/>
    </row>
    <row r="24" spans="1:13" s="4" customFormat="1" ht="16" thickBot="1" x14ac:dyDescent="0.4">
      <c r="A24" s="286">
        <v>45992</v>
      </c>
      <c r="B24" s="287"/>
      <c r="C24" s="41">
        <f t="shared" si="1"/>
        <v>107333.33333333333</v>
      </c>
      <c r="D24" s="44"/>
      <c r="E24" s="43">
        <f t="shared" si="0"/>
        <v>107333.33333333333</v>
      </c>
      <c r="F24" s="15"/>
      <c r="G24" s="15"/>
      <c r="H24" s="15"/>
      <c r="I24" s="15"/>
      <c r="J24" s="15"/>
      <c r="K24" s="15"/>
      <c r="L24" s="15"/>
      <c r="M24" s="15"/>
    </row>
    <row r="25" spans="1:13" s="4" customFormat="1" ht="16" thickBot="1" x14ac:dyDescent="0.4">
      <c r="A25" s="286">
        <v>46023</v>
      </c>
      <c r="B25" s="287"/>
      <c r="C25" s="41">
        <f t="shared" si="1"/>
        <v>107333.33333333333</v>
      </c>
      <c r="D25" s="44"/>
      <c r="E25" s="43">
        <f t="shared" ref="E25:E27" si="2">C25-D25</f>
        <v>107333.33333333333</v>
      </c>
      <c r="F25" s="15"/>
      <c r="G25" s="15"/>
      <c r="H25" s="15"/>
      <c r="I25" s="15"/>
      <c r="J25" s="15"/>
      <c r="K25" s="15"/>
      <c r="L25" s="15"/>
      <c r="M25" s="15"/>
    </row>
    <row r="26" spans="1:13" s="4" customFormat="1" ht="16" thickBot="1" x14ac:dyDescent="0.4">
      <c r="A26" s="286">
        <v>46054</v>
      </c>
      <c r="B26" s="287"/>
      <c r="C26" s="41">
        <f t="shared" si="1"/>
        <v>107333.33333333333</v>
      </c>
      <c r="D26" s="44"/>
      <c r="E26" s="43">
        <f t="shared" si="2"/>
        <v>107333.33333333333</v>
      </c>
      <c r="F26" s="15"/>
      <c r="G26" s="15"/>
      <c r="H26" s="15"/>
      <c r="I26" s="15"/>
      <c r="J26" s="15"/>
      <c r="K26" s="15"/>
      <c r="L26" s="15"/>
      <c r="M26" s="15"/>
    </row>
    <row r="27" spans="1:13" s="4" customFormat="1" ht="16" thickBot="1" x14ac:dyDescent="0.4">
      <c r="A27" s="286">
        <v>46082</v>
      </c>
      <c r="B27" s="287"/>
      <c r="C27" s="41">
        <f t="shared" si="1"/>
        <v>107333.33333333333</v>
      </c>
      <c r="D27" s="44"/>
      <c r="E27" s="43">
        <f t="shared" si="2"/>
        <v>107333.33333333333</v>
      </c>
      <c r="F27" s="15"/>
      <c r="G27" s="15"/>
      <c r="H27" s="15"/>
      <c r="I27" s="15"/>
      <c r="J27" s="15"/>
      <c r="K27" s="15"/>
      <c r="L27" s="15"/>
      <c r="M27" s="15"/>
    </row>
    <row r="28" spans="1:13" s="4" customFormat="1" ht="16" thickBot="1" x14ac:dyDescent="0.4">
      <c r="A28" s="286">
        <v>46113</v>
      </c>
      <c r="B28" s="287"/>
      <c r="C28" s="41">
        <f t="shared" ref="C28:C30" si="3">J$17/F$13</f>
        <v>107333.33333333333</v>
      </c>
      <c r="D28" s="44"/>
      <c r="E28" s="43">
        <f t="shared" ref="E28:E30" si="4">C28-D28</f>
        <v>107333.33333333333</v>
      </c>
      <c r="F28" s="15"/>
      <c r="G28" s="15"/>
      <c r="H28" s="15"/>
      <c r="I28" s="15"/>
      <c r="J28" s="15"/>
      <c r="K28" s="15"/>
      <c r="L28" s="15"/>
      <c r="M28" s="15"/>
    </row>
    <row r="29" spans="1:13" s="4" customFormat="1" ht="16" thickBot="1" x14ac:dyDescent="0.4">
      <c r="A29" s="286">
        <v>46143</v>
      </c>
      <c r="B29" s="287"/>
      <c r="C29" s="41">
        <f t="shared" si="3"/>
        <v>107333.33333333333</v>
      </c>
      <c r="D29" s="44"/>
      <c r="E29" s="43">
        <f t="shared" si="4"/>
        <v>107333.33333333333</v>
      </c>
      <c r="F29" s="15"/>
      <c r="G29" s="15"/>
      <c r="H29" s="15"/>
      <c r="I29" s="15"/>
      <c r="J29" s="15"/>
      <c r="K29" s="15"/>
      <c r="L29" s="15"/>
      <c r="M29" s="15"/>
    </row>
    <row r="30" spans="1:13" s="4" customFormat="1" ht="16" thickBot="1" x14ac:dyDescent="0.4">
      <c r="A30" s="286">
        <v>46174</v>
      </c>
      <c r="B30" s="287"/>
      <c r="C30" s="41">
        <f t="shared" si="3"/>
        <v>107333.33333333333</v>
      </c>
      <c r="D30" s="44"/>
      <c r="E30" s="43">
        <f t="shared" si="4"/>
        <v>107333.33333333333</v>
      </c>
      <c r="F30" s="15"/>
      <c r="G30" s="15"/>
      <c r="H30" s="15"/>
      <c r="I30" s="15"/>
      <c r="J30" s="15"/>
      <c r="K30" s="15"/>
      <c r="L30" s="15"/>
      <c r="M30" s="15"/>
    </row>
    <row r="31" spans="1:13" s="4" customFormat="1" ht="16" thickBot="1" x14ac:dyDescent="0.4">
      <c r="A31" s="286">
        <v>46204</v>
      </c>
      <c r="B31" s="287"/>
      <c r="C31" s="41">
        <f t="shared" ref="C31:C33" si="5">J$17/F$13</f>
        <v>107333.33333333333</v>
      </c>
      <c r="D31" s="44"/>
      <c r="E31" s="43">
        <f t="shared" si="0"/>
        <v>107333.33333333333</v>
      </c>
      <c r="F31" s="15"/>
      <c r="G31" s="15"/>
      <c r="H31" s="15"/>
      <c r="I31" s="15"/>
      <c r="J31" s="15"/>
      <c r="K31" s="15"/>
      <c r="L31" s="15"/>
      <c r="M31" s="15"/>
    </row>
    <row r="32" spans="1:13" s="4" customFormat="1" ht="16" thickBot="1" x14ac:dyDescent="0.4">
      <c r="A32" s="286">
        <v>46235</v>
      </c>
      <c r="B32" s="287"/>
      <c r="C32" s="41">
        <f t="shared" ref="C32" si="6">J$17/F$13</f>
        <v>107333.33333333333</v>
      </c>
      <c r="D32" s="44"/>
      <c r="E32" s="43">
        <f t="shared" ref="E32" si="7">C32-D32</f>
        <v>107333.33333333333</v>
      </c>
      <c r="F32" s="15"/>
      <c r="G32" s="15"/>
      <c r="H32" s="15"/>
      <c r="I32" s="15"/>
      <c r="J32" s="15"/>
      <c r="K32" s="15"/>
      <c r="L32" s="15"/>
      <c r="M32" s="15"/>
    </row>
    <row r="33" spans="1:13" s="4" customFormat="1" ht="16" thickBot="1" x14ac:dyDescent="0.4">
      <c r="A33" s="286">
        <v>46266</v>
      </c>
      <c r="B33" s="287"/>
      <c r="C33" s="41">
        <f t="shared" si="5"/>
        <v>107333.33333333333</v>
      </c>
      <c r="D33" s="44"/>
      <c r="E33" s="43">
        <f t="shared" si="0"/>
        <v>107333.33333333333</v>
      </c>
      <c r="F33" s="15"/>
      <c r="G33" s="15"/>
      <c r="H33" s="15"/>
      <c r="I33" s="15"/>
      <c r="J33" s="15"/>
      <c r="K33" s="15"/>
      <c r="L33" s="15"/>
      <c r="M33" s="15"/>
    </row>
    <row r="34" spans="1:13" s="3" customFormat="1" ht="20.25" customHeight="1" thickBot="1" x14ac:dyDescent="0.4">
      <c r="A34" s="288" t="s">
        <v>43</v>
      </c>
      <c r="B34" s="289"/>
      <c r="C34" s="29">
        <f>SUM(C20:C33)</f>
        <v>1288000</v>
      </c>
      <c r="D34" s="29">
        <f>SUM(D20:D33)</f>
        <v>0</v>
      </c>
      <c r="E34" s="29">
        <f>SUM(E20:E33)</f>
        <v>1288000</v>
      </c>
      <c r="F34" s="23"/>
      <c r="G34" s="23"/>
      <c r="H34" s="23"/>
      <c r="I34" s="23"/>
      <c r="J34" s="23"/>
      <c r="K34" s="23"/>
      <c r="L34" s="23"/>
      <c r="M34" s="23"/>
    </row>
    <row r="35" spans="1:13" s="4" customFormat="1" ht="16" thickTop="1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 s="4" customFormat="1" ht="15.5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s="4" customFormat="1" ht="15.5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s="4" customFormat="1" ht="15.5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s="4" customFormat="1" ht="15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s="4" customFormat="1" ht="15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s="4" customFormat="1" ht="15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s="4" customFormat="1" ht="15.5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 s="4" customFormat="1" ht="15.5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s="4" customFormat="1" ht="15.5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s="4" customFormat="1" ht="15.5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s="4" customFormat="1" ht="15.5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s="4" customFormat="1" ht="15.5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s="4" customFormat="1" ht="15.5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s="4" customFormat="1" ht="15.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s="4" customFormat="1" ht="15.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s="4" customFormat="1" ht="15.5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s="4" customFormat="1" ht="15.5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s="4" customFormat="1" ht="15.5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s="4" customFormat="1" ht="15.5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s="4" customFormat="1" ht="15.5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 s="4" customFormat="1" ht="15.5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s="4" customFormat="1" ht="15.5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 s="4" customFormat="1" ht="15.5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s="4" customFormat="1" ht="15.5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s="4" customFormat="1" ht="15.5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s="4" customFormat="1" ht="15.5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 s="4" customFormat="1" ht="15.5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s="4" customFormat="1" ht="15.5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 s="4" customFormat="1" ht="15.5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s="4" customFormat="1" ht="15.5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s="4" customFormat="1" ht="15.5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s="4" customFormat="1" ht="15.5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s="4" customFormat="1" ht="15.5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s="4" customFormat="1" ht="15.5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s="4" customFormat="1" ht="15.5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s="4" customFormat="1" ht="15.5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s="4" customFormat="1" ht="15.5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s="4" customFormat="1" ht="15.5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s="4" customFormat="1" ht="15.5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 s="4" customFormat="1" ht="15.5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s="4" customFormat="1" ht="15.5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s="4" customFormat="1" ht="15.5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 s="4" customFormat="1" ht="15.5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s="4" customFormat="1" ht="15.5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s="4" customFormat="1" ht="15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s="4" customFormat="1" ht="15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s="4" customFormat="1" ht="15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 s="4" customFormat="1" ht="15.5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s="4" customFormat="1" ht="15.5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1:13" s="4" customFormat="1" ht="15.5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1:13" s="4" customFormat="1" ht="15.5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 s="4" customFormat="1" ht="15.5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 s="4" customFormat="1" ht="15.5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s="4" customFormat="1" ht="15.5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 s="4" customFormat="1" ht="15.5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 s="4" customFormat="1" ht="15.5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 s="4" customFormat="1" ht="15.5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 s="4" customFormat="1" ht="15.5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1:13" s="4" customFormat="1" ht="15.5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s="4" customFormat="1" ht="15.5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 s="4" customFormat="1" ht="15.5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s="4" customFormat="1" ht="15.5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s="4" customFormat="1" ht="15.5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1:13" s="4" customFormat="1" ht="15.5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 s="4" customFormat="1" ht="15.5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s="4" customFormat="1" ht="15.5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1:13" s="4" customFormat="1" ht="15.5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s="4" customFormat="1" ht="15.5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s="4" customFormat="1" ht="15.5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1:13" s="4" customFormat="1" ht="15.5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1:13" s="4" customFormat="1" ht="15.5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1:13" s="4" customFormat="1" ht="15.5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 s="4" customFormat="1" ht="15.5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1:13" s="4" customFormat="1" ht="15.5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s="4" customFormat="1" ht="15.5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1:13" s="4" customFormat="1" ht="15.5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 s="4" customFormat="1" ht="15.5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1:13" s="4" customFormat="1" ht="15.5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 s="4" customFormat="1" ht="15.5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 s="4" customFormat="1" ht="15.5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 s="4" customFormat="1" ht="15.5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 s="4" customFormat="1" ht="15.5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 s="4" customFormat="1" ht="15.5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 s="4" customFormat="1" ht="15.5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 s="4" customFormat="1" ht="15.5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 s="4" customFormat="1" ht="15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1:13" s="4" customFormat="1" ht="15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1:13" s="4" customFormat="1" ht="15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1:13" s="4" customFormat="1" ht="15.5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1:13" s="4" customFormat="1" ht="15.5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1:13" s="4" customFormat="1" ht="15.5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 s="4" customFormat="1" ht="15.5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1:13" s="4" customFormat="1" ht="15.5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s="4" customFormat="1" ht="15.5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3" s="4" customFormat="1" ht="15.5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1:13" s="4" customFormat="1" ht="15.5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 s="4" customFormat="1" ht="15.5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 s="4" customFormat="1" ht="15.5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 s="4" customFormat="1" ht="15.5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 s="4" customFormat="1" ht="15.5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 s="4" customFormat="1" ht="15.5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1:13" s="4" customFormat="1" ht="15.5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1:13" s="4" customFormat="1" ht="15.5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1:13" s="4" customFormat="1" ht="15.5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 s="4" customFormat="1" ht="15.5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1:13" s="4" customFormat="1" ht="15.5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 s="4" customFormat="1" ht="15.5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 s="4" customFormat="1" ht="15.5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1:13" s="4" customFormat="1" ht="15.5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1:13" s="4" customFormat="1" ht="15.5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 s="4" customFormat="1" ht="15.5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1:13" s="4" customFormat="1" ht="15.5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 s="4" customFormat="1" ht="15.5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1:13" s="4" customFormat="1" ht="15.5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1:13" s="4" customFormat="1" ht="15.5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 s="4" customFormat="1" ht="15.5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 s="4" customFormat="1" ht="15.5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s="4" customFormat="1" ht="15.5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 s="4" customFormat="1" ht="15.5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1:13" s="4" customFormat="1" ht="15.5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 s="4" customFormat="1" ht="15.5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spans="1:13" s="4" customFormat="1" ht="15.5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spans="1:13" s="4" customFormat="1" ht="15.5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spans="1:13" s="4" customFormat="1" ht="15.5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1:13" s="4" customFormat="1" ht="15.5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1:13" s="4" customFormat="1" ht="15.5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1:13" s="4" customFormat="1" ht="15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1:13" s="4" customFormat="1" ht="15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1:13" s="4" customFormat="1" ht="15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spans="1:13" s="4" customFormat="1" ht="15.5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1:13" s="4" customFormat="1" ht="15.5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1:13" s="4" customFormat="1" ht="15.5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spans="1:13" s="4" customFormat="1" ht="15.5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spans="1:13" s="4" customFormat="1" ht="15.5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spans="1:13" s="4" customFormat="1" ht="15.5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spans="1:13" s="4" customFormat="1" ht="15.5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spans="1:13" s="4" customFormat="1" ht="15.5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spans="1:13" s="4" customFormat="1" ht="15.5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spans="1:13" s="4" customFormat="1" ht="15.5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spans="1:13" s="4" customFormat="1" ht="15.5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spans="1:13" s="4" customFormat="1" ht="15.5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spans="1:13" s="4" customFormat="1" ht="15.5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1:13" s="4" customFormat="1" ht="15.5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spans="1:13" s="4" customFormat="1" ht="15.5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1:13" s="4" customFormat="1" ht="15.5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spans="1:13" s="4" customFormat="1" ht="15.5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1:13" s="4" customFormat="1" ht="15.5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spans="1:13" s="4" customFormat="1" ht="15.5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1:13" s="4" customFormat="1" ht="15.5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spans="1:13" s="4" customFormat="1" ht="15.5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spans="1:13" s="4" customFormat="1" ht="15.5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spans="1:13" s="4" customFormat="1" ht="15.5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1:13" s="4" customFormat="1" ht="15.5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spans="1:13" s="4" customFormat="1" ht="15.5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1:13" s="4" customFormat="1" ht="15.5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spans="1:13" s="4" customFormat="1" ht="15.5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spans="1:13" s="4" customFormat="1" ht="15.5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spans="1:13" s="4" customFormat="1" ht="15.5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spans="1:13" s="4" customFormat="1" ht="15.5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spans="1:13" s="4" customFormat="1" ht="15.5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1:13" s="4" customFormat="1" ht="15.5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spans="1:13" s="4" customFormat="1" ht="15.5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spans="1:13" s="4" customFormat="1" ht="15.5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1:13" s="4" customFormat="1" ht="15.5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1:13" s="4" customFormat="1" ht="15.5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1:13" s="4" customFormat="1" ht="15.5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spans="1:13" s="4" customFormat="1" ht="15.5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spans="1:13" s="4" customFormat="1" ht="15.5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  <row r="204" spans="1:13" s="4" customFormat="1" ht="15.5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</row>
    <row r="205" spans="1:13" s="4" customFormat="1" ht="15.5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</row>
    <row r="206" spans="1:13" s="4" customFormat="1" ht="15.5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1:13" s="4" customFormat="1" ht="15.5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spans="1:13" s="4" customFormat="1" ht="15.5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1:13" s="4" customFormat="1" ht="15.5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</row>
    <row r="210" spans="1:13" s="4" customFormat="1" ht="15.5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</row>
    <row r="211" spans="1:13" s="4" customFormat="1" ht="15.5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</row>
    <row r="212" spans="1:13" s="4" customFormat="1" ht="15.5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spans="1:13" s="4" customFormat="1" ht="15.5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</row>
    <row r="214" spans="1:13" s="4" customFormat="1" ht="15.5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spans="1:13" s="4" customFormat="1" ht="15.5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spans="1:13" s="4" customFormat="1" ht="15.5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spans="1:13" s="4" customFormat="1" ht="15.5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spans="1:13" s="4" customFormat="1" ht="15.5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spans="1:13" s="4" customFormat="1" ht="15.5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spans="1:13" s="4" customFormat="1" ht="15.5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spans="1:13" s="4" customFormat="1" ht="15.5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spans="1:13" s="4" customFormat="1" ht="15.5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spans="1:13" s="4" customFormat="1" ht="15.5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spans="1:13" s="4" customFormat="1" ht="15.5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5" spans="1:13" s="4" customFormat="1" ht="15.5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spans="1:13" s="4" customFormat="1" ht="15.5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27" spans="1:13" s="4" customFormat="1" ht="15.5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spans="1:13" s="4" customFormat="1" ht="15.5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spans="1:13" s="4" customFormat="1" ht="15.5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spans="1:13" s="4" customFormat="1" ht="15.5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</row>
    <row r="231" spans="1:13" s="4" customFormat="1" ht="15.5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</row>
    <row r="232" spans="1:13" s="4" customFormat="1" ht="15.5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</row>
    <row r="233" spans="1:13" s="4" customFormat="1" ht="15.5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</row>
    <row r="234" spans="1:13" s="4" customFormat="1" ht="15.5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spans="1:13" s="4" customFormat="1" ht="15.5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</row>
    <row r="236" spans="1:13" s="4" customFormat="1" ht="15.5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spans="1:13" s="4" customFormat="1" ht="15.5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</row>
    <row r="238" spans="1:13" s="4" customFormat="1" ht="15.5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spans="1:13" s="4" customFormat="1" ht="15.5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</row>
    <row r="240" spans="1:13" s="4" customFormat="1" ht="15.5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spans="1:13" s="4" customFormat="1" ht="15.5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</row>
    <row r="242" spans="1:13" s="4" customFormat="1" ht="15.5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3" spans="1:13" s="4" customFormat="1" ht="15.5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</row>
    <row r="244" spans="1:13" s="4" customFormat="1" ht="15.5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1:13" s="4" customFormat="1" ht="15.5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spans="1:13" s="4" customFormat="1" ht="15.5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spans="1:13" s="4" customFormat="1" ht="15.5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spans="1:13" s="4" customFormat="1" ht="15.5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spans="1:13" s="4" customFormat="1" ht="15.5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spans="1:13" s="4" customFormat="1" ht="15.5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</row>
    <row r="251" spans="1:13" s="4" customFormat="1" ht="15.5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spans="1:13" s="4" customFormat="1" ht="15.5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spans="1:13" s="4" customFormat="1" ht="15.5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</row>
    <row r="254" spans="1:13" s="4" customFormat="1" ht="15.5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spans="1:13" s="4" customFormat="1" ht="15.5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</row>
    <row r="256" spans="1:13" s="4" customFormat="1" ht="15.5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</row>
    <row r="257" spans="1:13" s="4" customFormat="1" ht="15.5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spans="1:13" s="4" customFormat="1" ht="15.5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</row>
    <row r="259" spans="1:13" s="4" customFormat="1" ht="15.5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spans="1:13" s="4" customFormat="1" ht="15.5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spans="1:13" s="4" customFormat="1" ht="15.5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spans="1:13" s="4" customFormat="1" ht="15.5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spans="1:13" s="4" customFormat="1" ht="15.5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spans="1:13" s="4" customFormat="1" ht="15.5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spans="1:13" s="4" customFormat="1" ht="15.5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spans="1:13" s="4" customFormat="1" ht="15.5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spans="1:13" s="4" customFormat="1" ht="15.5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</row>
    <row r="268" spans="1:13" s="4" customFormat="1" ht="15.5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spans="1:13" s="4" customFormat="1" ht="15.5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</row>
    <row r="270" spans="1:13" s="4" customFormat="1" ht="15.5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</row>
    <row r="271" spans="1:13" s="4" customFormat="1" ht="15.5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</row>
    <row r="272" spans="1:13" s="4" customFormat="1" ht="15.5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spans="1:13" s="4" customFormat="1" ht="15.5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spans="1:13" s="4" customFormat="1" ht="15.5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</row>
    <row r="275" spans="1:13" s="4" customFormat="1" ht="15.5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</row>
    <row r="276" spans="1:13" s="4" customFormat="1" ht="15.5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spans="1:13" s="4" customFormat="1" ht="15.5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 spans="1:13" s="4" customFormat="1" ht="15.5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 spans="1:13" s="4" customFormat="1" ht="15.5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 spans="1:13" s="4" customFormat="1" ht="15.5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spans="1:13" s="4" customFormat="1" ht="15.5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 spans="1:13" s="4" customFormat="1" ht="15.5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spans="1:13" s="4" customFormat="1" ht="15.5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spans="1:13" s="4" customFormat="1" ht="15.5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spans="1:13" s="4" customFormat="1" ht="15.5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spans="1:13" s="4" customFormat="1" ht="15.5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 spans="1:13" s="4" customFormat="1" ht="15.5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 spans="1:13" s="4" customFormat="1" ht="15.5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 spans="1:13" s="4" customFormat="1" ht="15.5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spans="1:13" s="4" customFormat="1" ht="15.5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 spans="1:13" s="4" customFormat="1" ht="15.5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 spans="1:13" s="4" customFormat="1" ht="15.5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 spans="1:13" s="4" customFormat="1" ht="15.5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spans="1:13" s="4" customFormat="1" ht="15.5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 spans="1:13" s="4" customFormat="1" ht="15.5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spans="1:13" s="4" customFormat="1" ht="15.5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 spans="1:13" s="4" customFormat="1" ht="15.5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spans="1:13" s="4" customFormat="1" ht="15.5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 spans="1:13" s="4" customFormat="1" ht="15.5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 spans="1:13" s="4" customFormat="1" ht="15.5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 spans="1:13" s="4" customFormat="1" ht="15.5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spans="1:13" s="4" customFormat="1" ht="15.5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spans="1:13" s="4" customFormat="1" ht="15.5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spans="1:13" s="4" customFormat="1" ht="15.5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 spans="1:13" s="4" customFormat="1" ht="15.5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 spans="1:13" s="4" customFormat="1" ht="15.5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 spans="1:13" s="4" customFormat="1" ht="15.5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 spans="1:13" s="4" customFormat="1" ht="15.5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 spans="1:13" s="4" customFormat="1" ht="15.5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spans="1:13" s="4" customFormat="1" ht="15.5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 spans="1:13" s="4" customFormat="1" ht="15.5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 spans="1:13" s="4" customFormat="1" ht="15.5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 spans="1:13" s="4" customFormat="1" ht="15.5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 spans="1:13" s="4" customFormat="1" ht="15.5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spans="1:13" s="4" customFormat="1" ht="15.5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 spans="1:13" s="4" customFormat="1" ht="15.5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 spans="1:13" s="4" customFormat="1" ht="15.5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 spans="1:13" s="4" customFormat="1" ht="15.5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 spans="1:13" s="4" customFormat="1" ht="15.5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 spans="1:13" s="4" customFormat="1" ht="15.5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spans="1:13" s="4" customFormat="1" ht="15.5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spans="1:13" s="4" customFormat="1" ht="15.5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spans="1:13" s="4" customFormat="1" ht="15.5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 spans="1:13" s="4" customFormat="1" ht="15.5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 spans="1:13" s="4" customFormat="1" ht="15.5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spans="1:13" s="4" customFormat="1" ht="15.5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 spans="1:13" s="4" customFormat="1" ht="15.5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 spans="1:13" s="4" customFormat="1" ht="15.5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spans="1:13" s="4" customFormat="1" ht="15.5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 spans="1:13" s="4" customFormat="1" ht="15.5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 spans="1:13" s="4" customFormat="1" ht="15.5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 spans="1:13" s="4" customFormat="1" ht="15.5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spans="1:13" s="4" customFormat="1" ht="15.5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 spans="1:13" s="4" customFormat="1" ht="15.5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spans="1:13" s="4" customFormat="1" ht="15.5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 spans="1:13" s="4" customFormat="1" ht="15.5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spans="1:13" s="4" customFormat="1" ht="15.5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 spans="1:13" s="4" customFormat="1" ht="15.5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 spans="1:13" s="4" customFormat="1" ht="15.5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spans="1:13" s="4" customFormat="1" ht="15.5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spans="1:13" s="4" customFormat="1" ht="15.5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spans="1:13" s="4" customFormat="1" ht="15.5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spans="1:13" s="4" customFormat="1" ht="15.5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 spans="1:13" s="4" customFormat="1" ht="15.5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 spans="1:13" s="4" customFormat="1" ht="15.5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spans="1:13" s="4" customFormat="1" ht="15.5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 spans="1:13" s="4" customFormat="1" ht="15.5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 spans="1:13" s="4" customFormat="1" ht="15.5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 spans="1:13" s="4" customFormat="1" ht="15.5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 spans="1:13" s="4" customFormat="1" ht="15.5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spans="1:13" s="4" customFormat="1" ht="15.5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 spans="1:13" s="4" customFormat="1" ht="15.5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 spans="1:13" s="4" customFormat="1" ht="15.5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 spans="1:13" s="4" customFormat="1" ht="15.5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 spans="1:13" s="4" customFormat="1" ht="15.5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 spans="1:13" s="4" customFormat="1" ht="15.5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 spans="1:13" s="4" customFormat="1" ht="15.5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 spans="1:13" s="4" customFormat="1" ht="15.5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spans="1:13" s="4" customFormat="1" ht="15.5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spans="1:13" s="4" customFormat="1" ht="15.5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spans="1:13" s="4" customFormat="1" ht="15.5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 spans="1:13" s="4" customFormat="1" ht="15.5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spans="1:13" s="4" customFormat="1" ht="15.5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 spans="1:13" s="4" customFormat="1" ht="15.5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 spans="1:13" s="4" customFormat="1" ht="15.5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 spans="1:13" s="4" customFormat="1" ht="15.5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 spans="1:13" s="4" customFormat="1" ht="15.5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 spans="1:13" s="4" customFormat="1" ht="15.5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 spans="1:13" s="4" customFormat="1" ht="15.5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 spans="1:13" s="4" customFormat="1" ht="15.5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spans="1:13" s="4" customFormat="1" ht="15.5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 spans="1:13" s="4" customFormat="1" ht="15.5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 spans="1:13" s="4" customFormat="1" ht="15.5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spans="1:13" s="4" customFormat="1" ht="15.5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spans="1:13" s="4" customFormat="1" ht="15.5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spans="1:13" s="4" customFormat="1" ht="15.5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 spans="1:13" s="4" customFormat="1" ht="15.5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spans="1:13" s="4" customFormat="1" ht="15.5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 spans="1:13" s="4" customFormat="1" ht="15.5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 spans="1:13" s="4" customFormat="1" ht="15.5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 spans="1:13" s="4" customFormat="1" ht="15.5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 spans="1:13" s="4" customFormat="1" ht="15.5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 spans="1:13" s="4" customFormat="1" ht="15.5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spans="1:13" s="4" customFormat="1" ht="15.5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 spans="1:13" s="4" customFormat="1" ht="15.5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 spans="1:13" s="4" customFormat="1" ht="15.5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  <row r="387" spans="1:13" s="4" customFormat="1" ht="15.5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</row>
    <row r="388" spans="1:13" s="4" customFormat="1" ht="15.5" x14ac:dyDescent="0.3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</row>
    <row r="389" spans="1:13" s="4" customFormat="1" ht="15.5" x14ac:dyDescent="0.3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</row>
    <row r="390" spans="1:13" s="4" customFormat="1" ht="15.5" x14ac:dyDescent="0.3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</row>
    <row r="391" spans="1:13" s="4" customFormat="1" ht="15.5" x14ac:dyDescent="0.3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</row>
    <row r="392" spans="1:13" s="4" customFormat="1" ht="15.5" x14ac:dyDescent="0.3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</row>
    <row r="393" spans="1:13" s="4" customFormat="1" ht="15.5" x14ac:dyDescent="0.3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</row>
    <row r="394" spans="1:13" s="4" customFormat="1" ht="15.5" x14ac:dyDescent="0.3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</row>
    <row r="395" spans="1:13" s="4" customFormat="1" ht="15.5" x14ac:dyDescent="0.3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</row>
  </sheetData>
  <mergeCells count="30">
    <mergeCell ref="A26:B26"/>
    <mergeCell ref="A27:B27"/>
    <mergeCell ref="H15:I15"/>
    <mergeCell ref="A1:K3"/>
    <mergeCell ref="A7:D7"/>
    <mergeCell ref="E7:G7"/>
    <mergeCell ref="J7:K7"/>
    <mergeCell ref="H9:I9"/>
    <mergeCell ref="J9:K9"/>
    <mergeCell ref="A11:C11"/>
    <mergeCell ref="D11:G11"/>
    <mergeCell ref="J11:K11"/>
    <mergeCell ref="D13:E13"/>
    <mergeCell ref="H13:I13"/>
    <mergeCell ref="A33:B33"/>
    <mergeCell ref="A34:B34"/>
    <mergeCell ref="A32:B32"/>
    <mergeCell ref="A17:E18"/>
    <mergeCell ref="G17:I17"/>
    <mergeCell ref="A19:B19"/>
    <mergeCell ref="A20:B20"/>
    <mergeCell ref="A21:B21"/>
    <mergeCell ref="A31:B31"/>
    <mergeCell ref="A28:B28"/>
    <mergeCell ref="A29:B29"/>
    <mergeCell ref="A30:B30"/>
    <mergeCell ref="A22:B22"/>
    <mergeCell ref="A23:B23"/>
    <mergeCell ref="A24:B24"/>
    <mergeCell ref="A25:B25"/>
  </mergeCells>
  <dataValidations count="2">
    <dataValidation type="list" allowBlank="1" showInputMessage="1" showErrorMessage="1" sqref="J7:K7" xr:uid="{D7384E30-F640-49DE-9F64-387AC8777F33}">
      <formula1>mois_bon2</formula1>
    </dataValidation>
    <dataValidation type="list" allowBlank="1" showInputMessage="1" showErrorMessage="1" sqref="E7" xr:uid="{31176D5E-1F30-4E58-9142-534218B5E6C9}">
      <formula1>secteur</formula1>
    </dataValidation>
  </dataValidations>
  <pageMargins left="0.7" right="0.7" top="0.75" bottom="0.75" header="0.3" footer="0.3"/>
  <pageSetup paperSize="9" scale="65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81B61-FA56-4107-AF1E-A1BA1086BB8B}">
  <sheetPr codeName="Feuil15">
    <tabColor rgb="FF7030A0"/>
  </sheetPr>
  <dimension ref="A1:M395"/>
  <sheetViews>
    <sheetView showGridLines="0" topLeftCell="A13" workbookViewId="0">
      <selection activeCell="H50" activeCellId="1" sqref="F54 H50"/>
    </sheetView>
  </sheetViews>
  <sheetFormatPr baseColWidth="10" defaultRowHeight="17.5" x14ac:dyDescent="0.35"/>
  <cols>
    <col min="1" max="1" width="10.90625" style="8"/>
    <col min="2" max="2" width="11.81640625" style="8" customWidth="1"/>
    <col min="3" max="3" width="14.1796875" style="8" customWidth="1"/>
    <col min="4" max="5" width="10.90625" style="8"/>
    <col min="6" max="6" width="3.54296875" style="8" customWidth="1"/>
    <col min="7" max="8" width="10.90625" style="8"/>
    <col min="9" max="9" width="14.453125" style="8" customWidth="1"/>
    <col min="10" max="10" width="10.90625" style="8"/>
    <col min="11" max="11" width="15.26953125" style="8" bestFit="1" customWidth="1"/>
    <col min="12" max="13" width="10.90625" style="8"/>
  </cols>
  <sheetData>
    <row r="1" spans="1:13" ht="7.5" customHeight="1" x14ac:dyDescent="0.35">
      <c r="A1" s="269" t="s">
        <v>50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</row>
    <row r="2" spans="1:13" ht="13.5" customHeight="1" x14ac:dyDescent="0.35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</row>
    <row r="3" spans="1:13" ht="15" hidden="1" customHeight="1" x14ac:dyDescent="0.35">
      <c r="A3" s="269"/>
      <c r="B3" s="269"/>
      <c r="C3" s="269"/>
      <c r="D3" s="269"/>
      <c r="E3" s="269"/>
      <c r="F3" s="269"/>
      <c r="G3" s="269"/>
      <c r="H3" s="269"/>
      <c r="I3" s="269"/>
      <c r="J3" s="269"/>
      <c r="K3" s="269"/>
    </row>
    <row r="4" spans="1:13" ht="5.25" customHeight="1" x14ac:dyDescent="0.35"/>
    <row r="5" spans="1:13" ht="13.5" customHeight="1" x14ac:dyDescent="0.35">
      <c r="A5" s="34" t="s">
        <v>52</v>
      </c>
    </row>
    <row r="6" spans="1:13" ht="5.25" customHeight="1" thickBot="1" x14ac:dyDescent="0.4">
      <c r="A6" s="34"/>
    </row>
    <row r="7" spans="1:13" s="23" customFormat="1" ht="16.5" thickTop="1" thickBot="1" x14ac:dyDescent="0.4">
      <c r="A7" s="270" t="s">
        <v>44</v>
      </c>
      <c r="B7" s="270"/>
      <c r="C7" s="270"/>
      <c r="D7" s="270"/>
      <c r="E7" s="271" t="s">
        <v>28</v>
      </c>
      <c r="F7" s="272"/>
      <c r="G7" s="273"/>
      <c r="I7" s="36" t="s">
        <v>46</v>
      </c>
      <c r="J7" s="274" t="s">
        <v>241</v>
      </c>
      <c r="K7" s="275"/>
      <c r="M7" s="28"/>
    </row>
    <row r="8" spans="1:13" ht="5.25" customHeight="1" thickTop="1" thickBot="1" x14ac:dyDescent="0.4"/>
    <row r="9" spans="1:13" ht="18.5" thickTop="1" thickBot="1" x14ac:dyDescent="0.4">
      <c r="H9" s="267" t="s">
        <v>53</v>
      </c>
      <c r="I9" s="268"/>
      <c r="J9" s="276">
        <v>46275</v>
      </c>
      <c r="K9" s="277"/>
    </row>
    <row r="10" spans="1:13" ht="18.5" thickTop="1" thickBot="1" x14ac:dyDescent="0.4">
      <c r="J10" s="45"/>
      <c r="K10" s="37"/>
    </row>
    <row r="11" spans="1:13" s="3" customFormat="1" ht="16.5" thickTop="1" thickBot="1" x14ac:dyDescent="0.4">
      <c r="A11" s="270" t="s">
        <v>45</v>
      </c>
      <c r="B11" s="270"/>
      <c r="C11" s="270"/>
      <c r="D11" s="271" t="s">
        <v>187</v>
      </c>
      <c r="E11" s="272"/>
      <c r="F11" s="272"/>
      <c r="G11" s="273"/>
      <c r="H11" s="23"/>
      <c r="I11" s="31" t="s">
        <v>47</v>
      </c>
      <c r="J11" s="271"/>
      <c r="K11" s="273"/>
      <c r="L11" s="23"/>
      <c r="M11" s="23"/>
    </row>
    <row r="12" spans="1:13" s="4" customFormat="1" ht="16.5" thickTop="1" thickBot="1" x14ac:dyDescent="0.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s="25" customFormat="1" ht="16.5" thickTop="1" thickBot="1" x14ac:dyDescent="0.4">
      <c r="A13" s="52" t="s">
        <v>76</v>
      </c>
      <c r="B13" s="46"/>
      <c r="C13" s="35">
        <v>300000</v>
      </c>
      <c r="D13" s="267" t="s">
        <v>49</v>
      </c>
      <c r="E13" s="267"/>
      <c r="F13" s="179">
        <v>12</v>
      </c>
      <c r="G13" s="30" t="s">
        <v>48</v>
      </c>
      <c r="H13" s="278" t="s">
        <v>57</v>
      </c>
      <c r="I13" s="279"/>
      <c r="J13" s="33">
        <f>IF(C13&lt;1000000,F13*1.5%,F13%)</f>
        <v>0.18</v>
      </c>
      <c r="K13" s="24"/>
      <c r="L13" s="24"/>
      <c r="M13" s="24"/>
    </row>
    <row r="14" spans="1:13" s="4" customFormat="1" ht="16.5" thickTop="1" thickBot="1" x14ac:dyDescent="0.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s="3" customFormat="1" ht="16.5" thickTop="1" thickBot="1" x14ac:dyDescent="0.4">
      <c r="A15" s="23"/>
      <c r="B15" s="23"/>
      <c r="C15" s="23"/>
      <c r="D15" s="23"/>
      <c r="E15" s="23"/>
      <c r="F15" s="23"/>
      <c r="G15" s="23"/>
      <c r="H15" s="267" t="s">
        <v>26</v>
      </c>
      <c r="I15" s="268"/>
      <c r="J15" s="27">
        <f>C13*J13</f>
        <v>54000</v>
      </c>
      <c r="K15" s="23"/>
      <c r="L15" s="23"/>
      <c r="M15" s="23"/>
    </row>
    <row r="16" spans="1:13" s="4" customFormat="1" ht="16.5" thickTop="1" thickBot="1" x14ac:dyDescent="0.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s="4" customFormat="1" ht="18.75" customHeight="1" thickTop="1" thickBot="1" x14ac:dyDescent="0.4">
      <c r="A17" s="280" t="s">
        <v>51</v>
      </c>
      <c r="B17" s="280"/>
      <c r="C17" s="280"/>
      <c r="D17" s="280"/>
      <c r="E17" s="280"/>
      <c r="F17" s="15"/>
      <c r="G17" s="282" t="s">
        <v>73</v>
      </c>
      <c r="H17" s="282"/>
      <c r="I17" s="283"/>
      <c r="J17" s="51">
        <f>C13+J15</f>
        <v>354000</v>
      </c>
      <c r="K17" s="15"/>
      <c r="L17" s="15"/>
      <c r="M17" s="15"/>
    </row>
    <row r="18" spans="1:13" s="4" customFormat="1" ht="13.5" customHeight="1" thickTop="1" thickBot="1" x14ac:dyDescent="0.4">
      <c r="A18" s="281"/>
      <c r="B18" s="281"/>
      <c r="C18" s="281"/>
      <c r="D18" s="281"/>
      <c r="E18" s="281"/>
      <c r="F18" s="15"/>
      <c r="G18" s="15"/>
      <c r="H18" s="15"/>
      <c r="I18" s="15"/>
      <c r="J18" s="15"/>
      <c r="K18" s="15"/>
      <c r="L18" s="15"/>
      <c r="M18" s="15"/>
    </row>
    <row r="19" spans="1:13" s="4" customFormat="1" ht="42.75" customHeight="1" thickTop="1" thickBot="1" x14ac:dyDescent="0.45">
      <c r="A19" s="284" t="s">
        <v>196</v>
      </c>
      <c r="B19" s="285"/>
      <c r="C19" s="38" t="s">
        <v>54</v>
      </c>
      <c r="D19" s="39" t="s">
        <v>55</v>
      </c>
      <c r="E19" s="40" t="s">
        <v>56</v>
      </c>
      <c r="F19" s="15"/>
      <c r="G19" s="26"/>
      <c r="H19" s="15"/>
      <c r="I19" s="15"/>
      <c r="J19" s="15"/>
      <c r="K19" s="15"/>
      <c r="L19" s="15"/>
      <c r="M19" s="15"/>
    </row>
    <row r="20" spans="1:13" s="4" customFormat="1" ht="16" thickBot="1" x14ac:dyDescent="0.4">
      <c r="A20" s="286">
        <v>45870</v>
      </c>
      <c r="B20" s="287"/>
      <c r="C20" s="41"/>
      <c r="D20" s="42"/>
      <c r="E20" s="43">
        <f>C20-D20</f>
        <v>0</v>
      </c>
      <c r="F20" s="15"/>
      <c r="G20" s="15"/>
      <c r="H20" s="15"/>
      <c r="I20" s="15"/>
      <c r="J20" s="15"/>
      <c r="K20" s="15"/>
      <c r="L20" s="15"/>
      <c r="M20" s="15"/>
    </row>
    <row r="21" spans="1:13" s="4" customFormat="1" ht="16" thickBot="1" x14ac:dyDescent="0.4">
      <c r="A21" s="286">
        <v>45901</v>
      </c>
      <c r="B21" s="287"/>
      <c r="C21" s="41"/>
      <c r="D21" s="44"/>
      <c r="E21" s="43">
        <f t="shared" ref="E21:E33" si="0">C21-D21</f>
        <v>0</v>
      </c>
      <c r="F21" s="15"/>
      <c r="G21" s="15"/>
      <c r="H21" s="15"/>
      <c r="I21" s="15"/>
      <c r="J21" s="15"/>
      <c r="K21" s="15"/>
      <c r="L21" s="15"/>
      <c r="M21" s="15"/>
    </row>
    <row r="22" spans="1:13" s="4" customFormat="1" ht="16" thickBot="1" x14ac:dyDescent="0.4">
      <c r="A22" s="286">
        <v>45931</v>
      </c>
      <c r="B22" s="287"/>
      <c r="C22" s="41">
        <f>J$17/F$13</f>
        <v>29500</v>
      </c>
      <c r="D22" s="44"/>
      <c r="E22" s="43">
        <f t="shared" si="0"/>
        <v>29500</v>
      </c>
      <c r="F22" s="15"/>
      <c r="G22" s="15"/>
      <c r="H22" s="15"/>
      <c r="I22" s="15"/>
      <c r="J22" s="15"/>
      <c r="K22" s="15"/>
      <c r="L22" s="15"/>
      <c r="M22" s="15"/>
    </row>
    <row r="23" spans="1:13" s="4" customFormat="1" ht="16" thickBot="1" x14ac:dyDescent="0.4">
      <c r="A23" s="286">
        <v>45962</v>
      </c>
      <c r="B23" s="287"/>
      <c r="C23" s="41">
        <f t="shared" ref="C23:C33" si="1">J$17/F$13</f>
        <v>29500</v>
      </c>
      <c r="D23" s="44"/>
      <c r="E23" s="43">
        <f t="shared" si="0"/>
        <v>29500</v>
      </c>
      <c r="F23" s="15"/>
      <c r="G23" s="15"/>
      <c r="H23" s="15"/>
      <c r="I23" s="15"/>
      <c r="J23" s="15"/>
      <c r="K23" s="15"/>
      <c r="L23" s="15"/>
      <c r="M23" s="15"/>
    </row>
    <row r="24" spans="1:13" s="4" customFormat="1" ht="16" thickBot="1" x14ac:dyDescent="0.4">
      <c r="A24" s="286">
        <v>45992</v>
      </c>
      <c r="B24" s="287"/>
      <c r="C24" s="41">
        <f t="shared" si="1"/>
        <v>29500</v>
      </c>
      <c r="D24" s="44"/>
      <c r="E24" s="43">
        <f t="shared" si="0"/>
        <v>29500</v>
      </c>
      <c r="F24" s="15"/>
      <c r="G24" s="15"/>
      <c r="H24" s="15"/>
      <c r="I24" s="15"/>
      <c r="J24" s="15"/>
      <c r="K24" s="15"/>
      <c r="L24" s="15"/>
      <c r="M24" s="15"/>
    </row>
    <row r="25" spans="1:13" s="4" customFormat="1" ht="16" thickBot="1" x14ac:dyDescent="0.4">
      <c r="A25" s="286">
        <v>46023</v>
      </c>
      <c r="B25" s="287"/>
      <c r="C25" s="41">
        <f t="shared" si="1"/>
        <v>29500</v>
      </c>
      <c r="D25" s="44"/>
      <c r="E25" s="43">
        <f t="shared" si="0"/>
        <v>29500</v>
      </c>
      <c r="F25" s="15"/>
      <c r="G25" s="15"/>
      <c r="H25" s="15"/>
      <c r="I25" s="15"/>
      <c r="J25" s="15"/>
      <c r="K25" s="15"/>
      <c r="L25" s="15"/>
      <c r="M25" s="15"/>
    </row>
    <row r="26" spans="1:13" s="4" customFormat="1" ht="16" thickBot="1" x14ac:dyDescent="0.4">
      <c r="A26" s="286">
        <v>46054</v>
      </c>
      <c r="B26" s="287"/>
      <c r="C26" s="41">
        <f t="shared" ref="C26:C29" si="2">J$17/F$13</f>
        <v>29500</v>
      </c>
      <c r="D26" s="44"/>
      <c r="E26" s="43">
        <f t="shared" ref="E26:E29" si="3">C26-D26</f>
        <v>29500</v>
      </c>
      <c r="F26" s="15"/>
      <c r="G26" s="15"/>
      <c r="H26" s="15"/>
      <c r="I26" s="15"/>
      <c r="J26" s="15"/>
      <c r="K26" s="15"/>
      <c r="L26" s="15"/>
      <c r="M26" s="15"/>
    </row>
    <row r="27" spans="1:13" s="4" customFormat="1" ht="16" thickBot="1" x14ac:dyDescent="0.4">
      <c r="A27" s="286">
        <v>46082</v>
      </c>
      <c r="B27" s="287"/>
      <c r="C27" s="41">
        <f t="shared" si="2"/>
        <v>29500</v>
      </c>
      <c r="D27" s="44"/>
      <c r="E27" s="43">
        <f t="shared" si="3"/>
        <v>29500</v>
      </c>
      <c r="F27" s="15"/>
      <c r="G27" s="15"/>
      <c r="H27" s="15"/>
      <c r="I27" s="15"/>
      <c r="J27" s="15"/>
      <c r="K27" s="15"/>
      <c r="L27" s="15"/>
      <c r="M27" s="15"/>
    </row>
    <row r="28" spans="1:13" s="4" customFormat="1" ht="16" thickBot="1" x14ac:dyDescent="0.4">
      <c r="A28" s="286">
        <v>46113</v>
      </c>
      <c r="B28" s="287"/>
      <c r="C28" s="41">
        <f t="shared" si="2"/>
        <v>29500</v>
      </c>
      <c r="D28" s="44"/>
      <c r="E28" s="43">
        <f t="shared" si="3"/>
        <v>29500</v>
      </c>
      <c r="F28" s="15"/>
      <c r="G28" s="15"/>
      <c r="H28" s="15"/>
      <c r="I28" s="15"/>
      <c r="J28" s="15"/>
      <c r="K28" s="15"/>
      <c r="L28" s="15"/>
      <c r="M28" s="15"/>
    </row>
    <row r="29" spans="1:13" s="4" customFormat="1" ht="16" thickBot="1" x14ac:dyDescent="0.4">
      <c r="A29" s="286">
        <v>46143</v>
      </c>
      <c r="B29" s="287"/>
      <c r="C29" s="41">
        <f t="shared" si="2"/>
        <v>29500</v>
      </c>
      <c r="D29" s="44"/>
      <c r="E29" s="43">
        <f t="shared" si="3"/>
        <v>29500</v>
      </c>
      <c r="F29" s="15"/>
      <c r="G29" s="15"/>
      <c r="H29" s="15"/>
      <c r="I29" s="15"/>
      <c r="J29" s="15"/>
      <c r="K29" s="15"/>
      <c r="L29" s="15"/>
      <c r="M29" s="15"/>
    </row>
    <row r="30" spans="1:13" s="4" customFormat="1" ht="16" thickBot="1" x14ac:dyDescent="0.4">
      <c r="A30" s="286">
        <v>46174</v>
      </c>
      <c r="B30" s="287"/>
      <c r="C30" s="41">
        <f t="shared" si="1"/>
        <v>29500</v>
      </c>
      <c r="D30" s="44"/>
      <c r="E30" s="43">
        <f t="shared" si="0"/>
        <v>29500</v>
      </c>
      <c r="F30" s="15"/>
      <c r="G30" s="15"/>
      <c r="H30" s="15"/>
      <c r="I30" s="15"/>
      <c r="J30" s="15"/>
      <c r="K30" s="15"/>
      <c r="L30" s="15"/>
      <c r="M30" s="15"/>
    </row>
    <row r="31" spans="1:13" s="4" customFormat="1" ht="16" thickBot="1" x14ac:dyDescent="0.4">
      <c r="A31" s="286">
        <v>46204</v>
      </c>
      <c r="B31" s="287"/>
      <c r="C31" s="41">
        <f t="shared" si="1"/>
        <v>29500</v>
      </c>
      <c r="D31" s="44"/>
      <c r="E31" s="43">
        <f t="shared" si="0"/>
        <v>29500</v>
      </c>
      <c r="F31" s="15"/>
      <c r="G31" s="15"/>
      <c r="H31" s="15"/>
      <c r="I31" s="15"/>
      <c r="J31" s="15"/>
      <c r="K31" s="15"/>
      <c r="L31" s="15"/>
      <c r="M31" s="15"/>
    </row>
    <row r="32" spans="1:13" s="4" customFormat="1" ht="16" thickBot="1" x14ac:dyDescent="0.4">
      <c r="A32" s="286">
        <v>46235</v>
      </c>
      <c r="B32" s="287"/>
      <c r="C32" s="41">
        <f t="shared" si="1"/>
        <v>29500</v>
      </c>
      <c r="D32" s="44"/>
      <c r="E32" s="43">
        <f t="shared" si="0"/>
        <v>29500</v>
      </c>
      <c r="F32" s="15"/>
      <c r="G32" s="15"/>
      <c r="H32" s="15"/>
      <c r="I32" s="15"/>
      <c r="J32" s="15"/>
      <c r="K32" s="15"/>
      <c r="L32" s="15"/>
      <c r="M32" s="15"/>
    </row>
    <row r="33" spans="1:13" s="4" customFormat="1" ht="16" thickBot="1" x14ac:dyDescent="0.4">
      <c r="A33" s="286">
        <v>46266</v>
      </c>
      <c r="B33" s="287"/>
      <c r="C33" s="41">
        <f t="shared" si="1"/>
        <v>29500</v>
      </c>
      <c r="D33" s="44"/>
      <c r="E33" s="43">
        <f t="shared" si="0"/>
        <v>29500</v>
      </c>
      <c r="F33" s="15"/>
      <c r="G33" s="15"/>
      <c r="H33" s="15"/>
      <c r="I33" s="15"/>
      <c r="J33" s="15"/>
      <c r="K33" s="15"/>
      <c r="L33" s="15"/>
      <c r="M33" s="15"/>
    </row>
    <row r="34" spans="1:13" s="3" customFormat="1" ht="20.25" customHeight="1" thickBot="1" x14ac:dyDescent="0.4">
      <c r="A34" s="288" t="s">
        <v>43</v>
      </c>
      <c r="B34" s="289"/>
      <c r="C34" s="29">
        <f>SUM(C20:C33)</f>
        <v>354000</v>
      </c>
      <c r="D34" s="29">
        <f>SUM(D20:D33)</f>
        <v>0</v>
      </c>
      <c r="E34" s="29">
        <f>SUM(E20:E33)</f>
        <v>354000</v>
      </c>
      <c r="F34" s="23"/>
      <c r="G34" s="23"/>
      <c r="H34" s="23"/>
      <c r="I34" s="23"/>
      <c r="J34" s="23"/>
      <c r="K34" s="23"/>
      <c r="L34" s="23"/>
      <c r="M34" s="23"/>
    </row>
    <row r="35" spans="1:13" s="4" customFormat="1" ht="16" thickTop="1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 s="4" customFormat="1" ht="15.5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s="4" customFormat="1" ht="15.5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s="4" customFormat="1" ht="15.5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s="4" customFormat="1" ht="15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s="4" customFormat="1" ht="15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s="4" customFormat="1" ht="15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s="4" customFormat="1" ht="15.5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 s="4" customFormat="1" ht="15.5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s="4" customFormat="1" ht="15.5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s="4" customFormat="1" ht="15.5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s="4" customFormat="1" ht="15.5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s="4" customFormat="1" ht="15.5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s="4" customFormat="1" ht="15.5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s="4" customFormat="1" ht="15.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s="4" customFormat="1" ht="15.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s="4" customFormat="1" ht="15.5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s="4" customFormat="1" ht="15.5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s="4" customFormat="1" ht="15.5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s="4" customFormat="1" ht="15.5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s="4" customFormat="1" ht="15.5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 s="4" customFormat="1" ht="15.5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s="4" customFormat="1" ht="15.5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 s="4" customFormat="1" ht="15.5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s="4" customFormat="1" ht="15.5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s="4" customFormat="1" ht="15.5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s="4" customFormat="1" ht="15.5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 s="4" customFormat="1" ht="15.5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s="4" customFormat="1" ht="15.5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 s="4" customFormat="1" ht="15.5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s="4" customFormat="1" ht="15.5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s="4" customFormat="1" ht="15.5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s="4" customFormat="1" ht="15.5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s="4" customFormat="1" ht="15.5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s="4" customFormat="1" ht="15.5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s="4" customFormat="1" ht="15.5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s="4" customFormat="1" ht="15.5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s="4" customFormat="1" ht="15.5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s="4" customFormat="1" ht="15.5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s="4" customFormat="1" ht="15.5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 s="4" customFormat="1" ht="15.5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s="4" customFormat="1" ht="15.5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s="4" customFormat="1" ht="15.5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 s="4" customFormat="1" ht="15.5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s="4" customFormat="1" ht="15.5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s="4" customFormat="1" ht="15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s="4" customFormat="1" ht="15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s="4" customFormat="1" ht="15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 s="4" customFormat="1" ht="15.5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s="4" customFormat="1" ht="15.5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1:13" s="4" customFormat="1" ht="15.5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1:13" s="4" customFormat="1" ht="15.5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 s="4" customFormat="1" ht="15.5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 s="4" customFormat="1" ht="15.5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s="4" customFormat="1" ht="15.5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 s="4" customFormat="1" ht="15.5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 s="4" customFormat="1" ht="15.5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 s="4" customFormat="1" ht="15.5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 s="4" customFormat="1" ht="15.5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1:13" s="4" customFormat="1" ht="15.5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s="4" customFormat="1" ht="15.5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 s="4" customFormat="1" ht="15.5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s="4" customFormat="1" ht="15.5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s="4" customFormat="1" ht="15.5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1:13" s="4" customFormat="1" ht="15.5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 s="4" customFormat="1" ht="15.5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s="4" customFormat="1" ht="15.5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1:13" s="4" customFormat="1" ht="15.5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s="4" customFormat="1" ht="15.5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s="4" customFormat="1" ht="15.5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1:13" s="4" customFormat="1" ht="15.5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1:13" s="4" customFormat="1" ht="15.5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1:13" s="4" customFormat="1" ht="15.5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 s="4" customFormat="1" ht="15.5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1:13" s="4" customFormat="1" ht="15.5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s="4" customFormat="1" ht="15.5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1:13" s="4" customFormat="1" ht="15.5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 s="4" customFormat="1" ht="15.5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1:13" s="4" customFormat="1" ht="15.5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 s="4" customFormat="1" ht="15.5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 s="4" customFormat="1" ht="15.5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 s="4" customFormat="1" ht="15.5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 s="4" customFormat="1" ht="15.5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 s="4" customFormat="1" ht="15.5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 s="4" customFormat="1" ht="15.5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 s="4" customFormat="1" ht="15.5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 s="4" customFormat="1" ht="15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1:13" s="4" customFormat="1" ht="15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1:13" s="4" customFormat="1" ht="15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1:13" s="4" customFormat="1" ht="15.5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1:13" s="4" customFormat="1" ht="15.5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1:13" s="4" customFormat="1" ht="15.5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 s="4" customFormat="1" ht="15.5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1:13" s="4" customFormat="1" ht="15.5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s="4" customFormat="1" ht="15.5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3" s="4" customFormat="1" ht="15.5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1:13" s="4" customFormat="1" ht="15.5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 s="4" customFormat="1" ht="15.5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 s="4" customFormat="1" ht="15.5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 s="4" customFormat="1" ht="15.5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 s="4" customFormat="1" ht="15.5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 s="4" customFormat="1" ht="15.5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1:13" s="4" customFormat="1" ht="15.5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1:13" s="4" customFormat="1" ht="15.5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1:13" s="4" customFormat="1" ht="15.5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 s="4" customFormat="1" ht="15.5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1:13" s="4" customFormat="1" ht="15.5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 s="4" customFormat="1" ht="15.5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 s="4" customFormat="1" ht="15.5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1:13" s="4" customFormat="1" ht="15.5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1:13" s="4" customFormat="1" ht="15.5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 s="4" customFormat="1" ht="15.5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1:13" s="4" customFormat="1" ht="15.5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 s="4" customFormat="1" ht="15.5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1:13" s="4" customFormat="1" ht="15.5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1:13" s="4" customFormat="1" ht="15.5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 s="4" customFormat="1" ht="15.5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 s="4" customFormat="1" ht="15.5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s="4" customFormat="1" ht="15.5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 s="4" customFormat="1" ht="15.5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1:13" s="4" customFormat="1" ht="15.5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 s="4" customFormat="1" ht="15.5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spans="1:13" s="4" customFormat="1" ht="15.5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spans="1:13" s="4" customFormat="1" ht="15.5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spans="1:13" s="4" customFormat="1" ht="15.5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1:13" s="4" customFormat="1" ht="15.5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1:13" s="4" customFormat="1" ht="15.5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1:13" s="4" customFormat="1" ht="15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1:13" s="4" customFormat="1" ht="15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1:13" s="4" customFormat="1" ht="15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spans="1:13" s="4" customFormat="1" ht="15.5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1:13" s="4" customFormat="1" ht="15.5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1:13" s="4" customFormat="1" ht="15.5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spans="1:13" s="4" customFormat="1" ht="15.5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spans="1:13" s="4" customFormat="1" ht="15.5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spans="1:13" s="4" customFormat="1" ht="15.5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spans="1:13" s="4" customFormat="1" ht="15.5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spans="1:13" s="4" customFormat="1" ht="15.5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spans="1:13" s="4" customFormat="1" ht="15.5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spans="1:13" s="4" customFormat="1" ht="15.5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spans="1:13" s="4" customFormat="1" ht="15.5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spans="1:13" s="4" customFormat="1" ht="15.5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spans="1:13" s="4" customFormat="1" ht="15.5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1:13" s="4" customFormat="1" ht="15.5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spans="1:13" s="4" customFormat="1" ht="15.5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1:13" s="4" customFormat="1" ht="15.5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spans="1:13" s="4" customFormat="1" ht="15.5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1:13" s="4" customFormat="1" ht="15.5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spans="1:13" s="4" customFormat="1" ht="15.5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1:13" s="4" customFormat="1" ht="15.5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spans="1:13" s="4" customFormat="1" ht="15.5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spans="1:13" s="4" customFormat="1" ht="15.5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spans="1:13" s="4" customFormat="1" ht="15.5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1:13" s="4" customFormat="1" ht="15.5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spans="1:13" s="4" customFormat="1" ht="15.5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1:13" s="4" customFormat="1" ht="15.5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spans="1:13" s="4" customFormat="1" ht="15.5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spans="1:13" s="4" customFormat="1" ht="15.5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spans="1:13" s="4" customFormat="1" ht="15.5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spans="1:13" s="4" customFormat="1" ht="15.5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spans="1:13" s="4" customFormat="1" ht="15.5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1:13" s="4" customFormat="1" ht="15.5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spans="1:13" s="4" customFormat="1" ht="15.5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spans="1:13" s="4" customFormat="1" ht="15.5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1:13" s="4" customFormat="1" ht="15.5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1:13" s="4" customFormat="1" ht="15.5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1:13" s="4" customFormat="1" ht="15.5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spans="1:13" s="4" customFormat="1" ht="15.5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spans="1:13" s="4" customFormat="1" ht="15.5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  <row r="204" spans="1:13" s="4" customFormat="1" ht="15.5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</row>
    <row r="205" spans="1:13" s="4" customFormat="1" ht="15.5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</row>
    <row r="206" spans="1:13" s="4" customFormat="1" ht="15.5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1:13" s="4" customFormat="1" ht="15.5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spans="1:13" s="4" customFormat="1" ht="15.5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1:13" s="4" customFormat="1" ht="15.5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</row>
    <row r="210" spans="1:13" s="4" customFormat="1" ht="15.5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</row>
    <row r="211" spans="1:13" s="4" customFormat="1" ht="15.5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</row>
    <row r="212" spans="1:13" s="4" customFormat="1" ht="15.5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spans="1:13" s="4" customFormat="1" ht="15.5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</row>
    <row r="214" spans="1:13" s="4" customFormat="1" ht="15.5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spans="1:13" s="4" customFormat="1" ht="15.5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spans="1:13" s="4" customFormat="1" ht="15.5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spans="1:13" s="4" customFormat="1" ht="15.5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spans="1:13" s="4" customFormat="1" ht="15.5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spans="1:13" s="4" customFormat="1" ht="15.5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spans="1:13" s="4" customFormat="1" ht="15.5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spans="1:13" s="4" customFormat="1" ht="15.5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spans="1:13" s="4" customFormat="1" ht="15.5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spans="1:13" s="4" customFormat="1" ht="15.5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spans="1:13" s="4" customFormat="1" ht="15.5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5" spans="1:13" s="4" customFormat="1" ht="15.5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spans="1:13" s="4" customFormat="1" ht="15.5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27" spans="1:13" s="4" customFormat="1" ht="15.5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spans="1:13" s="4" customFormat="1" ht="15.5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spans="1:13" s="4" customFormat="1" ht="15.5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spans="1:13" s="4" customFormat="1" ht="15.5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</row>
    <row r="231" spans="1:13" s="4" customFormat="1" ht="15.5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</row>
    <row r="232" spans="1:13" s="4" customFormat="1" ht="15.5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</row>
    <row r="233" spans="1:13" s="4" customFormat="1" ht="15.5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</row>
    <row r="234" spans="1:13" s="4" customFormat="1" ht="15.5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spans="1:13" s="4" customFormat="1" ht="15.5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</row>
    <row r="236" spans="1:13" s="4" customFormat="1" ht="15.5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spans="1:13" s="4" customFormat="1" ht="15.5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</row>
    <row r="238" spans="1:13" s="4" customFormat="1" ht="15.5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spans="1:13" s="4" customFormat="1" ht="15.5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</row>
    <row r="240" spans="1:13" s="4" customFormat="1" ht="15.5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spans="1:13" s="4" customFormat="1" ht="15.5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</row>
    <row r="242" spans="1:13" s="4" customFormat="1" ht="15.5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3" spans="1:13" s="4" customFormat="1" ht="15.5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</row>
    <row r="244" spans="1:13" s="4" customFormat="1" ht="15.5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1:13" s="4" customFormat="1" ht="15.5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spans="1:13" s="4" customFormat="1" ht="15.5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spans="1:13" s="4" customFormat="1" ht="15.5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spans="1:13" s="4" customFormat="1" ht="15.5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spans="1:13" s="4" customFormat="1" ht="15.5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spans="1:13" s="4" customFormat="1" ht="15.5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</row>
    <row r="251" spans="1:13" s="4" customFormat="1" ht="15.5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spans="1:13" s="4" customFormat="1" ht="15.5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spans="1:13" s="4" customFormat="1" ht="15.5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</row>
    <row r="254" spans="1:13" s="4" customFormat="1" ht="15.5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spans="1:13" s="4" customFormat="1" ht="15.5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</row>
    <row r="256" spans="1:13" s="4" customFormat="1" ht="15.5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</row>
    <row r="257" spans="1:13" s="4" customFormat="1" ht="15.5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spans="1:13" s="4" customFormat="1" ht="15.5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</row>
    <row r="259" spans="1:13" s="4" customFormat="1" ht="15.5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spans="1:13" s="4" customFormat="1" ht="15.5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spans="1:13" s="4" customFormat="1" ht="15.5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spans="1:13" s="4" customFormat="1" ht="15.5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spans="1:13" s="4" customFormat="1" ht="15.5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spans="1:13" s="4" customFormat="1" ht="15.5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spans="1:13" s="4" customFormat="1" ht="15.5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spans="1:13" s="4" customFormat="1" ht="15.5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spans="1:13" s="4" customFormat="1" ht="15.5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</row>
    <row r="268" spans="1:13" s="4" customFormat="1" ht="15.5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spans="1:13" s="4" customFormat="1" ht="15.5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</row>
    <row r="270" spans="1:13" s="4" customFormat="1" ht="15.5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</row>
    <row r="271" spans="1:13" s="4" customFormat="1" ht="15.5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</row>
    <row r="272" spans="1:13" s="4" customFormat="1" ht="15.5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spans="1:13" s="4" customFormat="1" ht="15.5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spans="1:13" s="4" customFormat="1" ht="15.5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</row>
    <row r="275" spans="1:13" s="4" customFormat="1" ht="15.5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</row>
    <row r="276" spans="1:13" s="4" customFormat="1" ht="15.5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spans="1:13" s="4" customFormat="1" ht="15.5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 spans="1:13" s="4" customFormat="1" ht="15.5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 spans="1:13" s="4" customFormat="1" ht="15.5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 spans="1:13" s="4" customFormat="1" ht="15.5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spans="1:13" s="4" customFormat="1" ht="15.5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 spans="1:13" s="4" customFormat="1" ht="15.5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spans="1:13" s="4" customFormat="1" ht="15.5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spans="1:13" s="4" customFormat="1" ht="15.5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spans="1:13" s="4" customFormat="1" ht="15.5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spans="1:13" s="4" customFormat="1" ht="15.5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 spans="1:13" s="4" customFormat="1" ht="15.5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 spans="1:13" s="4" customFormat="1" ht="15.5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 spans="1:13" s="4" customFormat="1" ht="15.5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spans="1:13" s="4" customFormat="1" ht="15.5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 spans="1:13" s="4" customFormat="1" ht="15.5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 spans="1:13" s="4" customFormat="1" ht="15.5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 spans="1:13" s="4" customFormat="1" ht="15.5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spans="1:13" s="4" customFormat="1" ht="15.5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 spans="1:13" s="4" customFormat="1" ht="15.5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spans="1:13" s="4" customFormat="1" ht="15.5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 spans="1:13" s="4" customFormat="1" ht="15.5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spans="1:13" s="4" customFormat="1" ht="15.5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 spans="1:13" s="4" customFormat="1" ht="15.5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 spans="1:13" s="4" customFormat="1" ht="15.5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 spans="1:13" s="4" customFormat="1" ht="15.5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spans="1:13" s="4" customFormat="1" ht="15.5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spans="1:13" s="4" customFormat="1" ht="15.5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spans="1:13" s="4" customFormat="1" ht="15.5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 spans="1:13" s="4" customFormat="1" ht="15.5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 spans="1:13" s="4" customFormat="1" ht="15.5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 spans="1:13" s="4" customFormat="1" ht="15.5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 spans="1:13" s="4" customFormat="1" ht="15.5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 spans="1:13" s="4" customFormat="1" ht="15.5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spans="1:13" s="4" customFormat="1" ht="15.5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 spans="1:13" s="4" customFormat="1" ht="15.5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 spans="1:13" s="4" customFormat="1" ht="15.5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 spans="1:13" s="4" customFormat="1" ht="15.5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 spans="1:13" s="4" customFormat="1" ht="15.5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spans="1:13" s="4" customFormat="1" ht="15.5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 spans="1:13" s="4" customFormat="1" ht="15.5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 spans="1:13" s="4" customFormat="1" ht="15.5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 spans="1:13" s="4" customFormat="1" ht="15.5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 spans="1:13" s="4" customFormat="1" ht="15.5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 spans="1:13" s="4" customFormat="1" ht="15.5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spans="1:13" s="4" customFormat="1" ht="15.5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spans="1:13" s="4" customFormat="1" ht="15.5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spans="1:13" s="4" customFormat="1" ht="15.5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 spans="1:13" s="4" customFormat="1" ht="15.5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 spans="1:13" s="4" customFormat="1" ht="15.5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spans="1:13" s="4" customFormat="1" ht="15.5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 spans="1:13" s="4" customFormat="1" ht="15.5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 spans="1:13" s="4" customFormat="1" ht="15.5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spans="1:13" s="4" customFormat="1" ht="15.5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 spans="1:13" s="4" customFormat="1" ht="15.5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 spans="1:13" s="4" customFormat="1" ht="15.5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 spans="1:13" s="4" customFormat="1" ht="15.5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spans="1:13" s="4" customFormat="1" ht="15.5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 spans="1:13" s="4" customFormat="1" ht="15.5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spans="1:13" s="4" customFormat="1" ht="15.5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 spans="1:13" s="4" customFormat="1" ht="15.5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spans="1:13" s="4" customFormat="1" ht="15.5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 spans="1:13" s="4" customFormat="1" ht="15.5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 spans="1:13" s="4" customFormat="1" ht="15.5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spans="1:13" s="4" customFormat="1" ht="15.5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spans="1:13" s="4" customFormat="1" ht="15.5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spans="1:13" s="4" customFormat="1" ht="15.5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spans="1:13" s="4" customFormat="1" ht="15.5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 spans="1:13" s="4" customFormat="1" ht="15.5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 spans="1:13" s="4" customFormat="1" ht="15.5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spans="1:13" s="4" customFormat="1" ht="15.5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 spans="1:13" s="4" customFormat="1" ht="15.5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 spans="1:13" s="4" customFormat="1" ht="15.5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 spans="1:13" s="4" customFormat="1" ht="15.5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 spans="1:13" s="4" customFormat="1" ht="15.5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spans="1:13" s="4" customFormat="1" ht="15.5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 spans="1:13" s="4" customFormat="1" ht="15.5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 spans="1:13" s="4" customFormat="1" ht="15.5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 spans="1:13" s="4" customFormat="1" ht="15.5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 spans="1:13" s="4" customFormat="1" ht="15.5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 spans="1:13" s="4" customFormat="1" ht="15.5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 spans="1:13" s="4" customFormat="1" ht="15.5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 spans="1:13" s="4" customFormat="1" ht="15.5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spans="1:13" s="4" customFormat="1" ht="15.5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spans="1:13" s="4" customFormat="1" ht="15.5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spans="1:13" s="4" customFormat="1" ht="15.5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 spans="1:13" s="4" customFormat="1" ht="15.5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spans="1:13" s="4" customFormat="1" ht="15.5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 spans="1:13" s="4" customFormat="1" ht="15.5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 spans="1:13" s="4" customFormat="1" ht="15.5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 spans="1:13" s="4" customFormat="1" ht="15.5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 spans="1:13" s="4" customFormat="1" ht="15.5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 spans="1:13" s="4" customFormat="1" ht="15.5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 spans="1:13" s="4" customFormat="1" ht="15.5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 spans="1:13" s="4" customFormat="1" ht="15.5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spans="1:13" s="4" customFormat="1" ht="15.5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 spans="1:13" s="4" customFormat="1" ht="15.5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 spans="1:13" s="4" customFormat="1" ht="15.5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spans="1:13" s="4" customFormat="1" ht="15.5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spans="1:13" s="4" customFormat="1" ht="15.5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spans="1:13" s="4" customFormat="1" ht="15.5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 spans="1:13" s="4" customFormat="1" ht="15.5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spans="1:13" s="4" customFormat="1" ht="15.5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 spans="1:13" s="4" customFormat="1" ht="15.5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 spans="1:13" s="4" customFormat="1" ht="15.5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 spans="1:13" s="4" customFormat="1" ht="15.5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 spans="1:13" s="4" customFormat="1" ht="15.5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 spans="1:13" s="4" customFormat="1" ht="15.5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spans="1:13" s="4" customFormat="1" ht="15.5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 spans="1:13" s="4" customFormat="1" ht="15.5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 spans="1:13" s="4" customFormat="1" ht="15.5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  <row r="387" spans="1:13" s="4" customFormat="1" ht="15.5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</row>
    <row r="388" spans="1:13" s="4" customFormat="1" ht="15.5" x14ac:dyDescent="0.3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</row>
    <row r="389" spans="1:13" s="4" customFormat="1" ht="15.5" x14ac:dyDescent="0.3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</row>
    <row r="390" spans="1:13" s="4" customFormat="1" ht="15.5" x14ac:dyDescent="0.3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</row>
    <row r="391" spans="1:13" s="4" customFormat="1" ht="15.5" x14ac:dyDescent="0.3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</row>
    <row r="392" spans="1:13" s="4" customFormat="1" ht="15.5" x14ac:dyDescent="0.3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</row>
    <row r="393" spans="1:13" s="4" customFormat="1" ht="15.5" x14ac:dyDescent="0.3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</row>
    <row r="394" spans="1:13" s="4" customFormat="1" ht="15.5" x14ac:dyDescent="0.3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</row>
    <row r="395" spans="1:13" s="4" customFormat="1" ht="15.5" x14ac:dyDescent="0.3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</row>
  </sheetData>
  <mergeCells count="30">
    <mergeCell ref="A33:B33"/>
    <mergeCell ref="A34:B34"/>
    <mergeCell ref="A23:B23"/>
    <mergeCell ref="A24:B24"/>
    <mergeCell ref="A25:B25"/>
    <mergeCell ref="A30:B30"/>
    <mergeCell ref="A31:B31"/>
    <mergeCell ref="A32:B32"/>
    <mergeCell ref="A26:B26"/>
    <mergeCell ref="A27:B27"/>
    <mergeCell ref="A28:B28"/>
    <mergeCell ref="A29:B29"/>
    <mergeCell ref="A22:B22"/>
    <mergeCell ref="A11:C11"/>
    <mergeCell ref="D11:G11"/>
    <mergeCell ref="J11:K11"/>
    <mergeCell ref="D13:E13"/>
    <mergeCell ref="H13:I13"/>
    <mergeCell ref="H15:I15"/>
    <mergeCell ref="A17:E18"/>
    <mergeCell ref="G17:I17"/>
    <mergeCell ref="A19:B19"/>
    <mergeCell ref="A20:B20"/>
    <mergeCell ref="A21:B21"/>
    <mergeCell ref="A1:K3"/>
    <mergeCell ref="A7:D7"/>
    <mergeCell ref="E7:G7"/>
    <mergeCell ref="J7:K7"/>
    <mergeCell ref="H9:I9"/>
    <mergeCell ref="J9:K9"/>
  </mergeCells>
  <dataValidations count="2">
    <dataValidation type="list" allowBlank="1" showInputMessage="1" showErrorMessage="1" sqref="E7" xr:uid="{21235406-B8EE-4494-B5C0-DB42CB7654EC}">
      <formula1>secteur</formula1>
    </dataValidation>
    <dataValidation type="list" allowBlank="1" showInputMessage="1" showErrorMessage="1" sqref="J7:K7" xr:uid="{128C07A4-896B-47C2-99DD-0F57F22D4E88}">
      <formula1>mois_bon2</formula1>
    </dataValidation>
  </dataValidations>
  <pageMargins left="0.7" right="0.7" top="0.75" bottom="0.75" header="0.3" footer="0.3"/>
  <pageSetup paperSize="9" scale="90"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6F4F-81A4-454A-BAB3-B53030079F9F}">
  <sheetPr codeName="Feuil16">
    <tabColor rgb="FF7030A0"/>
  </sheetPr>
  <dimension ref="A1:M392"/>
  <sheetViews>
    <sheetView showGridLines="0" workbookViewId="0">
      <selection activeCell="H50" activeCellId="1" sqref="F54 H50"/>
    </sheetView>
  </sheetViews>
  <sheetFormatPr baseColWidth="10" defaultRowHeight="17.5" x14ac:dyDescent="0.35"/>
  <cols>
    <col min="1" max="1" width="10.90625" style="8"/>
    <col min="2" max="2" width="11.81640625" style="8" customWidth="1"/>
    <col min="3" max="3" width="14.1796875" style="8" customWidth="1"/>
    <col min="4" max="5" width="10.90625" style="8"/>
    <col min="6" max="6" width="3.54296875" style="8" customWidth="1"/>
    <col min="7" max="8" width="10.90625" style="8"/>
    <col min="9" max="9" width="14.453125" style="8" customWidth="1"/>
    <col min="10" max="10" width="10.90625" style="8"/>
    <col min="11" max="11" width="15.26953125" style="8" bestFit="1" customWidth="1"/>
    <col min="12" max="13" width="10.90625" style="8"/>
  </cols>
  <sheetData>
    <row r="1" spans="1:13" ht="7.5" customHeight="1" x14ac:dyDescent="0.35">
      <c r="A1" s="269" t="s">
        <v>50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</row>
    <row r="2" spans="1:13" ht="13.5" customHeight="1" x14ac:dyDescent="0.35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</row>
    <row r="3" spans="1:13" ht="15" hidden="1" customHeight="1" x14ac:dyDescent="0.35">
      <c r="A3" s="269"/>
      <c r="B3" s="269"/>
      <c r="C3" s="269"/>
      <c r="D3" s="269"/>
      <c r="E3" s="269"/>
      <c r="F3" s="269"/>
      <c r="G3" s="269"/>
      <c r="H3" s="269"/>
      <c r="I3" s="269"/>
      <c r="J3" s="269"/>
      <c r="K3" s="269"/>
    </row>
    <row r="4" spans="1:13" ht="5.25" customHeight="1" x14ac:dyDescent="0.35"/>
    <row r="5" spans="1:13" ht="13.5" customHeight="1" x14ac:dyDescent="0.35">
      <c r="A5" s="34" t="s">
        <v>52</v>
      </c>
    </row>
    <row r="6" spans="1:13" ht="5.25" customHeight="1" thickBot="1" x14ac:dyDescent="0.4">
      <c r="A6" s="34"/>
    </row>
    <row r="7" spans="1:13" s="23" customFormat="1" ht="16.5" thickTop="1" thickBot="1" x14ac:dyDescent="0.4">
      <c r="A7" s="270" t="s">
        <v>44</v>
      </c>
      <c r="B7" s="270"/>
      <c r="C7" s="270"/>
      <c r="D7" s="270"/>
      <c r="E7" s="271" t="s">
        <v>27</v>
      </c>
      <c r="F7" s="272"/>
      <c r="G7" s="273"/>
      <c r="I7" s="36" t="s">
        <v>46</v>
      </c>
      <c r="J7" s="274" t="s">
        <v>241</v>
      </c>
      <c r="K7" s="275"/>
      <c r="M7" s="28"/>
    </row>
    <row r="8" spans="1:13" ht="5.25" customHeight="1" thickTop="1" thickBot="1" x14ac:dyDescent="0.4"/>
    <row r="9" spans="1:13" ht="18.5" thickTop="1" thickBot="1" x14ac:dyDescent="0.4">
      <c r="H9" s="267" t="s">
        <v>53</v>
      </c>
      <c r="I9" s="268"/>
      <c r="J9" s="276">
        <v>46183</v>
      </c>
      <c r="K9" s="277"/>
    </row>
    <row r="10" spans="1:13" ht="18.5" thickTop="1" thickBot="1" x14ac:dyDescent="0.4">
      <c r="J10" s="45"/>
      <c r="K10" s="37"/>
    </row>
    <row r="11" spans="1:13" s="3" customFormat="1" ht="16.5" thickTop="1" thickBot="1" x14ac:dyDescent="0.4">
      <c r="A11" s="270" t="s">
        <v>45</v>
      </c>
      <c r="B11" s="270"/>
      <c r="C11" s="270"/>
      <c r="D11" s="271" t="s">
        <v>16</v>
      </c>
      <c r="E11" s="272"/>
      <c r="F11" s="272"/>
      <c r="G11" s="273"/>
      <c r="H11" s="23"/>
      <c r="I11" s="31" t="s">
        <v>47</v>
      </c>
      <c r="J11" s="271"/>
      <c r="K11" s="273"/>
      <c r="L11" s="23"/>
      <c r="M11" s="23"/>
    </row>
    <row r="12" spans="1:13" s="4" customFormat="1" ht="16.5" thickTop="1" thickBot="1" x14ac:dyDescent="0.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s="25" customFormat="1" ht="16.5" thickTop="1" thickBot="1" x14ac:dyDescent="0.4">
      <c r="A13" s="52" t="s">
        <v>76</v>
      </c>
      <c r="B13" s="46"/>
      <c r="C13" s="35">
        <v>4000000</v>
      </c>
      <c r="D13" s="267" t="s">
        <v>49</v>
      </c>
      <c r="E13" s="267"/>
      <c r="F13" s="32">
        <v>9</v>
      </c>
      <c r="G13" s="30" t="s">
        <v>48</v>
      </c>
      <c r="H13" s="278" t="s">
        <v>57</v>
      </c>
      <c r="I13" s="279"/>
      <c r="J13" s="187">
        <f>IF(C13&lt;1000000,F13*1.5%,F13%)</f>
        <v>0.09</v>
      </c>
      <c r="K13" s="24"/>
      <c r="L13" s="24"/>
      <c r="M13" s="24"/>
    </row>
    <row r="14" spans="1:13" s="4" customFormat="1" ht="16.5" thickTop="1" thickBot="1" x14ac:dyDescent="0.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s="3" customFormat="1" ht="16.5" thickTop="1" thickBot="1" x14ac:dyDescent="0.4">
      <c r="A15" s="23"/>
      <c r="B15" s="23"/>
      <c r="C15" s="23"/>
      <c r="D15" s="23"/>
      <c r="E15" s="23"/>
      <c r="F15" s="23"/>
      <c r="G15" s="23"/>
      <c r="H15" s="267" t="s">
        <v>26</v>
      </c>
      <c r="I15" s="268"/>
      <c r="J15" s="27">
        <f>C13*J13</f>
        <v>360000</v>
      </c>
      <c r="K15" s="23"/>
      <c r="L15" s="23"/>
      <c r="M15" s="23"/>
    </row>
    <row r="16" spans="1:13" s="4" customFormat="1" ht="16.5" thickTop="1" thickBot="1" x14ac:dyDescent="0.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s="4" customFormat="1" ht="18.75" customHeight="1" thickTop="1" thickBot="1" x14ac:dyDescent="0.4">
      <c r="A17" s="280" t="s">
        <v>51</v>
      </c>
      <c r="B17" s="280"/>
      <c r="C17" s="280"/>
      <c r="D17" s="280"/>
      <c r="E17" s="280"/>
      <c r="F17" s="15"/>
      <c r="G17" s="282" t="s">
        <v>73</v>
      </c>
      <c r="H17" s="282"/>
      <c r="I17" s="283"/>
      <c r="J17" s="51">
        <f>C13+J15</f>
        <v>4360000</v>
      </c>
      <c r="K17" s="15"/>
      <c r="L17" s="15"/>
      <c r="M17" s="15"/>
    </row>
    <row r="18" spans="1:13" s="4" customFormat="1" ht="13.5" customHeight="1" thickTop="1" thickBot="1" x14ac:dyDescent="0.4">
      <c r="A18" s="281"/>
      <c r="B18" s="281"/>
      <c r="C18" s="281"/>
      <c r="D18" s="281"/>
      <c r="E18" s="281"/>
      <c r="F18" s="15"/>
      <c r="G18" s="15"/>
      <c r="H18" s="15"/>
      <c r="I18" s="15"/>
      <c r="J18" s="15"/>
      <c r="K18" s="15"/>
      <c r="L18" s="15"/>
      <c r="M18" s="15"/>
    </row>
    <row r="19" spans="1:13" s="4" customFormat="1" ht="42.75" customHeight="1" thickTop="1" thickBot="1" x14ac:dyDescent="0.45">
      <c r="A19" s="284" t="s">
        <v>196</v>
      </c>
      <c r="B19" s="285"/>
      <c r="C19" s="38" t="s">
        <v>54</v>
      </c>
      <c r="D19" s="39" t="s">
        <v>55</v>
      </c>
      <c r="E19" s="40" t="s">
        <v>56</v>
      </c>
      <c r="F19" s="15"/>
      <c r="G19" s="26"/>
      <c r="H19" s="15"/>
      <c r="I19" s="15"/>
      <c r="J19" s="15"/>
      <c r="K19" s="15"/>
      <c r="L19" s="15"/>
      <c r="M19" s="15"/>
    </row>
    <row r="20" spans="1:13" s="4" customFormat="1" ht="16" thickBot="1" x14ac:dyDescent="0.4">
      <c r="A20" s="286">
        <v>45870</v>
      </c>
      <c r="B20" s="287"/>
      <c r="C20" s="41"/>
      <c r="D20" s="44"/>
      <c r="E20" s="43">
        <f t="shared" ref="E20:E30" si="0">C20-D20</f>
        <v>0</v>
      </c>
      <c r="F20" s="15"/>
      <c r="G20" s="15"/>
      <c r="H20" s="15"/>
      <c r="I20" s="15"/>
      <c r="J20" s="15"/>
      <c r="K20" s="15"/>
      <c r="L20" s="15"/>
      <c r="M20" s="15"/>
    </row>
    <row r="21" spans="1:13" s="4" customFormat="1" ht="16" thickBot="1" x14ac:dyDescent="0.4">
      <c r="A21" s="286">
        <v>45901</v>
      </c>
      <c r="B21" s="287"/>
      <c r="C21" s="41"/>
      <c r="D21" s="44"/>
      <c r="E21" s="43">
        <f t="shared" si="0"/>
        <v>0</v>
      </c>
      <c r="F21" s="15"/>
      <c r="G21" s="15"/>
      <c r="H21" s="15"/>
      <c r="I21" s="15"/>
      <c r="J21" s="15"/>
      <c r="K21" s="15"/>
      <c r="L21" s="15"/>
      <c r="M21" s="15"/>
    </row>
    <row r="22" spans="1:13" s="4" customFormat="1" ht="16" thickBot="1" x14ac:dyDescent="0.4">
      <c r="A22" s="286">
        <v>45931</v>
      </c>
      <c r="B22" s="287"/>
      <c r="C22" s="41">
        <f t="shared" ref="C22:C24" si="1">J$17/F$13</f>
        <v>484444.44444444444</v>
      </c>
      <c r="D22" s="44"/>
      <c r="E22" s="43">
        <f t="shared" ref="E22:E24" si="2">C22-D22</f>
        <v>484444.44444444444</v>
      </c>
      <c r="F22" s="15"/>
      <c r="G22" s="15"/>
      <c r="H22" s="15"/>
      <c r="I22" s="15"/>
      <c r="J22" s="15"/>
      <c r="K22" s="15"/>
      <c r="L22" s="15"/>
      <c r="M22" s="15"/>
    </row>
    <row r="23" spans="1:13" s="4" customFormat="1" ht="16" thickBot="1" x14ac:dyDescent="0.4">
      <c r="A23" s="286">
        <v>45962</v>
      </c>
      <c r="B23" s="287"/>
      <c r="C23" s="41">
        <f t="shared" si="1"/>
        <v>484444.44444444444</v>
      </c>
      <c r="D23" s="44"/>
      <c r="E23" s="43">
        <f t="shared" si="2"/>
        <v>484444.44444444444</v>
      </c>
      <c r="F23" s="15"/>
      <c r="G23" s="15"/>
      <c r="H23" s="15"/>
      <c r="I23" s="15"/>
      <c r="J23" s="15"/>
      <c r="K23" s="15"/>
      <c r="L23" s="15"/>
      <c r="M23" s="15"/>
    </row>
    <row r="24" spans="1:13" s="4" customFormat="1" ht="16" thickBot="1" x14ac:dyDescent="0.4">
      <c r="A24" s="286">
        <v>45992</v>
      </c>
      <c r="B24" s="287"/>
      <c r="C24" s="41">
        <f t="shared" si="1"/>
        <v>484444.44444444444</v>
      </c>
      <c r="D24" s="44"/>
      <c r="E24" s="43">
        <f t="shared" si="2"/>
        <v>484444.44444444444</v>
      </c>
      <c r="F24" s="15"/>
      <c r="G24" s="15"/>
      <c r="H24" s="15"/>
      <c r="I24" s="15"/>
      <c r="J24" s="15"/>
      <c r="K24" s="15"/>
      <c r="L24" s="15"/>
      <c r="M24" s="15"/>
    </row>
    <row r="25" spans="1:13" s="4" customFormat="1" ht="16" thickBot="1" x14ac:dyDescent="0.4">
      <c r="A25" s="286">
        <v>46023</v>
      </c>
      <c r="B25" s="287"/>
      <c r="C25" s="41">
        <f t="shared" ref="C25:C30" si="3">J$17/F$13</f>
        <v>484444.44444444444</v>
      </c>
      <c r="D25" s="44"/>
      <c r="E25" s="43">
        <f t="shared" si="0"/>
        <v>484444.44444444444</v>
      </c>
      <c r="F25" s="15"/>
      <c r="G25" s="15"/>
      <c r="H25" s="15"/>
      <c r="I25" s="15"/>
      <c r="J25" s="15"/>
      <c r="K25" s="15"/>
      <c r="L25" s="15"/>
      <c r="M25" s="15"/>
    </row>
    <row r="26" spans="1:13" s="4" customFormat="1" ht="16" thickBot="1" x14ac:dyDescent="0.4">
      <c r="A26" s="286">
        <v>46054</v>
      </c>
      <c r="B26" s="287"/>
      <c r="C26" s="41">
        <f t="shared" si="3"/>
        <v>484444.44444444444</v>
      </c>
      <c r="D26" s="44"/>
      <c r="E26" s="43">
        <f t="shared" si="0"/>
        <v>484444.44444444444</v>
      </c>
      <c r="F26" s="15"/>
      <c r="G26" s="15"/>
      <c r="H26" s="15"/>
      <c r="I26" s="15"/>
      <c r="J26" s="15"/>
      <c r="K26" s="15"/>
      <c r="L26" s="15"/>
      <c r="M26" s="15"/>
    </row>
    <row r="27" spans="1:13" s="4" customFormat="1" ht="16" thickBot="1" x14ac:dyDescent="0.4">
      <c r="A27" s="286">
        <v>46082</v>
      </c>
      <c r="B27" s="287"/>
      <c r="C27" s="41">
        <f t="shared" si="3"/>
        <v>484444.44444444444</v>
      </c>
      <c r="D27" s="44"/>
      <c r="E27" s="43">
        <f t="shared" si="0"/>
        <v>484444.44444444444</v>
      </c>
      <c r="F27" s="15"/>
      <c r="G27" s="15"/>
      <c r="H27" s="15"/>
      <c r="I27" s="15"/>
      <c r="J27" s="15"/>
      <c r="K27" s="15"/>
      <c r="L27" s="15"/>
      <c r="M27" s="15"/>
    </row>
    <row r="28" spans="1:13" s="4" customFormat="1" ht="16" thickBot="1" x14ac:dyDescent="0.4">
      <c r="A28" s="286">
        <v>46113</v>
      </c>
      <c r="B28" s="287"/>
      <c r="C28" s="41">
        <f t="shared" si="3"/>
        <v>484444.44444444444</v>
      </c>
      <c r="D28" s="44"/>
      <c r="E28" s="43">
        <f t="shared" si="0"/>
        <v>484444.44444444444</v>
      </c>
      <c r="F28" s="15"/>
      <c r="G28" s="15"/>
      <c r="H28" s="15"/>
      <c r="I28" s="15"/>
      <c r="J28" s="15"/>
      <c r="K28" s="15"/>
      <c r="L28" s="15"/>
      <c r="M28" s="15"/>
    </row>
    <row r="29" spans="1:13" s="4" customFormat="1" ht="16" thickBot="1" x14ac:dyDescent="0.4">
      <c r="A29" s="286">
        <v>46143</v>
      </c>
      <c r="B29" s="287"/>
      <c r="C29" s="41">
        <f t="shared" si="3"/>
        <v>484444.44444444444</v>
      </c>
      <c r="D29" s="44"/>
      <c r="E29" s="43">
        <f t="shared" si="0"/>
        <v>484444.44444444444</v>
      </c>
      <c r="F29" s="15"/>
      <c r="G29" s="15"/>
      <c r="H29" s="15"/>
      <c r="I29" s="15"/>
      <c r="J29" s="15"/>
      <c r="K29" s="15"/>
      <c r="L29" s="15"/>
      <c r="M29" s="15"/>
    </row>
    <row r="30" spans="1:13" s="4" customFormat="1" ht="16" thickBot="1" x14ac:dyDescent="0.4">
      <c r="A30" s="286">
        <v>46174</v>
      </c>
      <c r="B30" s="287"/>
      <c r="C30" s="41">
        <f t="shared" si="3"/>
        <v>484444.44444444444</v>
      </c>
      <c r="D30" s="44"/>
      <c r="E30" s="43">
        <f t="shared" si="0"/>
        <v>484444.44444444444</v>
      </c>
      <c r="F30" s="15"/>
      <c r="G30" s="15"/>
      <c r="H30" s="15"/>
      <c r="I30" s="15"/>
      <c r="J30" s="15"/>
      <c r="K30" s="15"/>
      <c r="L30" s="15"/>
      <c r="M30" s="15"/>
    </row>
    <row r="31" spans="1:13" s="3" customFormat="1" ht="20.25" customHeight="1" thickBot="1" x14ac:dyDescent="0.4">
      <c r="A31" s="288" t="s">
        <v>43</v>
      </c>
      <c r="B31" s="289"/>
      <c r="C31" s="29">
        <f>SUM(C20:C30)</f>
        <v>4360000</v>
      </c>
      <c r="D31" s="29">
        <f>SUM(D20:D30)</f>
        <v>0</v>
      </c>
      <c r="E31" s="29">
        <f>SUM(E20:E30)</f>
        <v>4360000</v>
      </c>
      <c r="F31" s="23"/>
      <c r="G31" s="23"/>
      <c r="H31" s="23"/>
      <c r="I31" s="23"/>
      <c r="J31" s="23"/>
      <c r="K31" s="23"/>
      <c r="L31" s="23"/>
      <c r="M31" s="23"/>
    </row>
    <row r="32" spans="1:13" s="4" customFormat="1" ht="16" thickTop="1" x14ac:dyDescent="0.3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1:13" s="4" customFormat="1" ht="15.5" x14ac:dyDescent="0.3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13" s="4" customFormat="1" ht="15.5" x14ac:dyDescent="0.3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1:13" s="4" customFormat="1" ht="15.5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 s="4" customFormat="1" ht="15.5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s="4" customFormat="1" ht="15.5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s="4" customFormat="1" ht="15.5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s="4" customFormat="1" ht="15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s="4" customFormat="1" ht="15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s="4" customFormat="1" ht="15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s="4" customFormat="1" ht="15.5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 s="4" customFormat="1" ht="15.5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s="4" customFormat="1" ht="15.5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s="4" customFormat="1" ht="15.5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s="4" customFormat="1" ht="15.5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s="4" customFormat="1" ht="15.5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s="4" customFormat="1" ht="15.5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s="4" customFormat="1" ht="15.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s="4" customFormat="1" ht="15.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s="4" customFormat="1" ht="15.5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s="4" customFormat="1" ht="15.5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s="4" customFormat="1" ht="15.5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s="4" customFormat="1" ht="15.5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s="4" customFormat="1" ht="15.5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 s="4" customFormat="1" ht="15.5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s="4" customFormat="1" ht="15.5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 s="4" customFormat="1" ht="15.5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s="4" customFormat="1" ht="15.5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s="4" customFormat="1" ht="15.5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s="4" customFormat="1" ht="15.5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 s="4" customFormat="1" ht="15.5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s="4" customFormat="1" ht="15.5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 s="4" customFormat="1" ht="15.5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s="4" customFormat="1" ht="15.5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s="4" customFormat="1" ht="15.5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s="4" customFormat="1" ht="15.5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s="4" customFormat="1" ht="15.5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s="4" customFormat="1" ht="15.5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s="4" customFormat="1" ht="15.5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s="4" customFormat="1" ht="15.5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s="4" customFormat="1" ht="15.5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s="4" customFormat="1" ht="15.5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s="4" customFormat="1" ht="15.5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 s="4" customFormat="1" ht="15.5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s="4" customFormat="1" ht="15.5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s="4" customFormat="1" ht="15.5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 s="4" customFormat="1" ht="15.5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s="4" customFormat="1" ht="15.5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s="4" customFormat="1" ht="15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s="4" customFormat="1" ht="15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s="4" customFormat="1" ht="15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 s="4" customFormat="1" ht="15.5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s="4" customFormat="1" ht="15.5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1:13" s="4" customFormat="1" ht="15.5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1:13" s="4" customFormat="1" ht="15.5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 s="4" customFormat="1" ht="15.5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 s="4" customFormat="1" ht="15.5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s="4" customFormat="1" ht="15.5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 s="4" customFormat="1" ht="15.5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 s="4" customFormat="1" ht="15.5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 s="4" customFormat="1" ht="15.5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 s="4" customFormat="1" ht="15.5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1:13" s="4" customFormat="1" ht="15.5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s="4" customFormat="1" ht="15.5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 s="4" customFormat="1" ht="15.5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s="4" customFormat="1" ht="15.5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s="4" customFormat="1" ht="15.5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1:13" s="4" customFormat="1" ht="15.5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 s="4" customFormat="1" ht="15.5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s="4" customFormat="1" ht="15.5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1:13" s="4" customFormat="1" ht="15.5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s="4" customFormat="1" ht="15.5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s="4" customFormat="1" ht="15.5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1:13" s="4" customFormat="1" ht="15.5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1:13" s="4" customFormat="1" ht="15.5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1:13" s="4" customFormat="1" ht="15.5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 s="4" customFormat="1" ht="15.5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1:13" s="4" customFormat="1" ht="15.5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s="4" customFormat="1" ht="15.5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1:13" s="4" customFormat="1" ht="15.5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 s="4" customFormat="1" ht="15.5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1:13" s="4" customFormat="1" ht="15.5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 s="4" customFormat="1" ht="15.5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 s="4" customFormat="1" ht="15.5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 s="4" customFormat="1" ht="15.5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 s="4" customFormat="1" ht="15.5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 s="4" customFormat="1" ht="15.5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 s="4" customFormat="1" ht="15.5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 s="4" customFormat="1" ht="15.5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 s="4" customFormat="1" ht="15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1:13" s="4" customFormat="1" ht="15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1:13" s="4" customFormat="1" ht="15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1:13" s="4" customFormat="1" ht="15.5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1:13" s="4" customFormat="1" ht="15.5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1:13" s="4" customFormat="1" ht="15.5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 s="4" customFormat="1" ht="15.5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1:13" s="4" customFormat="1" ht="15.5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s="4" customFormat="1" ht="15.5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3" s="4" customFormat="1" ht="15.5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1:13" s="4" customFormat="1" ht="15.5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 s="4" customFormat="1" ht="15.5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 s="4" customFormat="1" ht="15.5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 s="4" customFormat="1" ht="15.5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 s="4" customFormat="1" ht="15.5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 s="4" customFormat="1" ht="15.5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1:13" s="4" customFormat="1" ht="15.5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1:13" s="4" customFormat="1" ht="15.5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1:13" s="4" customFormat="1" ht="15.5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 s="4" customFormat="1" ht="15.5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1:13" s="4" customFormat="1" ht="15.5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 s="4" customFormat="1" ht="15.5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 s="4" customFormat="1" ht="15.5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1:13" s="4" customFormat="1" ht="15.5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1:13" s="4" customFormat="1" ht="15.5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 s="4" customFormat="1" ht="15.5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1:13" s="4" customFormat="1" ht="15.5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 s="4" customFormat="1" ht="15.5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1:13" s="4" customFormat="1" ht="15.5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1:13" s="4" customFormat="1" ht="15.5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 s="4" customFormat="1" ht="15.5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 s="4" customFormat="1" ht="15.5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s="4" customFormat="1" ht="15.5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 s="4" customFormat="1" ht="15.5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1:13" s="4" customFormat="1" ht="15.5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 s="4" customFormat="1" ht="15.5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spans="1:13" s="4" customFormat="1" ht="15.5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spans="1:13" s="4" customFormat="1" ht="15.5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spans="1:13" s="4" customFormat="1" ht="15.5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1:13" s="4" customFormat="1" ht="15.5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1:13" s="4" customFormat="1" ht="15.5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1:13" s="4" customFormat="1" ht="15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1:13" s="4" customFormat="1" ht="15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1:13" s="4" customFormat="1" ht="15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spans="1:13" s="4" customFormat="1" ht="15.5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1:13" s="4" customFormat="1" ht="15.5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1:13" s="4" customFormat="1" ht="15.5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spans="1:13" s="4" customFormat="1" ht="15.5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spans="1:13" s="4" customFormat="1" ht="15.5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spans="1:13" s="4" customFormat="1" ht="15.5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spans="1:13" s="4" customFormat="1" ht="15.5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spans="1:13" s="4" customFormat="1" ht="15.5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spans="1:13" s="4" customFormat="1" ht="15.5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spans="1:13" s="4" customFormat="1" ht="15.5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spans="1:13" s="4" customFormat="1" ht="15.5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spans="1:13" s="4" customFormat="1" ht="15.5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spans="1:13" s="4" customFormat="1" ht="15.5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1:13" s="4" customFormat="1" ht="15.5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spans="1:13" s="4" customFormat="1" ht="15.5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1:13" s="4" customFormat="1" ht="15.5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spans="1:13" s="4" customFormat="1" ht="15.5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1:13" s="4" customFormat="1" ht="15.5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spans="1:13" s="4" customFormat="1" ht="15.5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1:13" s="4" customFormat="1" ht="15.5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spans="1:13" s="4" customFormat="1" ht="15.5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spans="1:13" s="4" customFormat="1" ht="15.5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spans="1:13" s="4" customFormat="1" ht="15.5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1:13" s="4" customFormat="1" ht="15.5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spans="1:13" s="4" customFormat="1" ht="15.5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1:13" s="4" customFormat="1" ht="15.5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spans="1:13" s="4" customFormat="1" ht="15.5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spans="1:13" s="4" customFormat="1" ht="15.5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spans="1:13" s="4" customFormat="1" ht="15.5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spans="1:13" s="4" customFormat="1" ht="15.5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spans="1:13" s="4" customFormat="1" ht="15.5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1:13" s="4" customFormat="1" ht="15.5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spans="1:13" s="4" customFormat="1" ht="15.5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spans="1:13" s="4" customFormat="1" ht="15.5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1:13" s="4" customFormat="1" ht="15.5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1:13" s="4" customFormat="1" ht="15.5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1:13" s="4" customFormat="1" ht="15.5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spans="1:13" s="4" customFormat="1" ht="15.5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spans="1:13" s="4" customFormat="1" ht="15.5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  <row r="204" spans="1:13" s="4" customFormat="1" ht="15.5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</row>
    <row r="205" spans="1:13" s="4" customFormat="1" ht="15.5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</row>
    <row r="206" spans="1:13" s="4" customFormat="1" ht="15.5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1:13" s="4" customFormat="1" ht="15.5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spans="1:13" s="4" customFormat="1" ht="15.5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1:13" s="4" customFormat="1" ht="15.5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</row>
    <row r="210" spans="1:13" s="4" customFormat="1" ht="15.5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</row>
    <row r="211" spans="1:13" s="4" customFormat="1" ht="15.5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</row>
    <row r="212" spans="1:13" s="4" customFormat="1" ht="15.5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spans="1:13" s="4" customFormat="1" ht="15.5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</row>
    <row r="214" spans="1:13" s="4" customFormat="1" ht="15.5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spans="1:13" s="4" customFormat="1" ht="15.5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spans="1:13" s="4" customFormat="1" ht="15.5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spans="1:13" s="4" customFormat="1" ht="15.5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spans="1:13" s="4" customFormat="1" ht="15.5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spans="1:13" s="4" customFormat="1" ht="15.5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spans="1:13" s="4" customFormat="1" ht="15.5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spans="1:13" s="4" customFormat="1" ht="15.5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spans="1:13" s="4" customFormat="1" ht="15.5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spans="1:13" s="4" customFormat="1" ht="15.5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spans="1:13" s="4" customFormat="1" ht="15.5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5" spans="1:13" s="4" customFormat="1" ht="15.5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spans="1:13" s="4" customFormat="1" ht="15.5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27" spans="1:13" s="4" customFormat="1" ht="15.5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spans="1:13" s="4" customFormat="1" ht="15.5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spans="1:13" s="4" customFormat="1" ht="15.5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spans="1:13" s="4" customFormat="1" ht="15.5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</row>
    <row r="231" spans="1:13" s="4" customFormat="1" ht="15.5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</row>
    <row r="232" spans="1:13" s="4" customFormat="1" ht="15.5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</row>
    <row r="233" spans="1:13" s="4" customFormat="1" ht="15.5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</row>
    <row r="234" spans="1:13" s="4" customFormat="1" ht="15.5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spans="1:13" s="4" customFormat="1" ht="15.5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</row>
    <row r="236" spans="1:13" s="4" customFormat="1" ht="15.5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spans="1:13" s="4" customFormat="1" ht="15.5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</row>
    <row r="238" spans="1:13" s="4" customFormat="1" ht="15.5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spans="1:13" s="4" customFormat="1" ht="15.5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</row>
    <row r="240" spans="1:13" s="4" customFormat="1" ht="15.5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spans="1:13" s="4" customFormat="1" ht="15.5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</row>
    <row r="242" spans="1:13" s="4" customFormat="1" ht="15.5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3" spans="1:13" s="4" customFormat="1" ht="15.5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</row>
    <row r="244" spans="1:13" s="4" customFormat="1" ht="15.5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1:13" s="4" customFormat="1" ht="15.5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spans="1:13" s="4" customFormat="1" ht="15.5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spans="1:13" s="4" customFormat="1" ht="15.5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spans="1:13" s="4" customFormat="1" ht="15.5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spans="1:13" s="4" customFormat="1" ht="15.5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spans="1:13" s="4" customFormat="1" ht="15.5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</row>
    <row r="251" spans="1:13" s="4" customFormat="1" ht="15.5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spans="1:13" s="4" customFormat="1" ht="15.5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spans="1:13" s="4" customFormat="1" ht="15.5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</row>
    <row r="254" spans="1:13" s="4" customFormat="1" ht="15.5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spans="1:13" s="4" customFormat="1" ht="15.5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</row>
    <row r="256" spans="1:13" s="4" customFormat="1" ht="15.5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</row>
    <row r="257" spans="1:13" s="4" customFormat="1" ht="15.5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spans="1:13" s="4" customFormat="1" ht="15.5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</row>
    <row r="259" spans="1:13" s="4" customFormat="1" ht="15.5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spans="1:13" s="4" customFormat="1" ht="15.5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spans="1:13" s="4" customFormat="1" ht="15.5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spans="1:13" s="4" customFormat="1" ht="15.5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spans="1:13" s="4" customFormat="1" ht="15.5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spans="1:13" s="4" customFormat="1" ht="15.5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spans="1:13" s="4" customFormat="1" ht="15.5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spans="1:13" s="4" customFormat="1" ht="15.5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spans="1:13" s="4" customFormat="1" ht="15.5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</row>
    <row r="268" spans="1:13" s="4" customFormat="1" ht="15.5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spans="1:13" s="4" customFormat="1" ht="15.5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</row>
    <row r="270" spans="1:13" s="4" customFormat="1" ht="15.5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</row>
    <row r="271" spans="1:13" s="4" customFormat="1" ht="15.5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</row>
    <row r="272" spans="1:13" s="4" customFormat="1" ht="15.5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spans="1:13" s="4" customFormat="1" ht="15.5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spans="1:13" s="4" customFormat="1" ht="15.5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</row>
    <row r="275" spans="1:13" s="4" customFormat="1" ht="15.5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</row>
    <row r="276" spans="1:13" s="4" customFormat="1" ht="15.5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spans="1:13" s="4" customFormat="1" ht="15.5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 spans="1:13" s="4" customFormat="1" ht="15.5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 spans="1:13" s="4" customFormat="1" ht="15.5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 spans="1:13" s="4" customFormat="1" ht="15.5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spans="1:13" s="4" customFormat="1" ht="15.5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 spans="1:13" s="4" customFormat="1" ht="15.5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spans="1:13" s="4" customFormat="1" ht="15.5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spans="1:13" s="4" customFormat="1" ht="15.5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spans="1:13" s="4" customFormat="1" ht="15.5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spans="1:13" s="4" customFormat="1" ht="15.5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 spans="1:13" s="4" customFormat="1" ht="15.5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 spans="1:13" s="4" customFormat="1" ht="15.5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 spans="1:13" s="4" customFormat="1" ht="15.5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spans="1:13" s="4" customFormat="1" ht="15.5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 spans="1:13" s="4" customFormat="1" ht="15.5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 spans="1:13" s="4" customFormat="1" ht="15.5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 spans="1:13" s="4" customFormat="1" ht="15.5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spans="1:13" s="4" customFormat="1" ht="15.5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 spans="1:13" s="4" customFormat="1" ht="15.5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spans="1:13" s="4" customFormat="1" ht="15.5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 spans="1:13" s="4" customFormat="1" ht="15.5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spans="1:13" s="4" customFormat="1" ht="15.5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 spans="1:13" s="4" customFormat="1" ht="15.5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 spans="1:13" s="4" customFormat="1" ht="15.5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 spans="1:13" s="4" customFormat="1" ht="15.5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spans="1:13" s="4" customFormat="1" ht="15.5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spans="1:13" s="4" customFormat="1" ht="15.5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spans="1:13" s="4" customFormat="1" ht="15.5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 spans="1:13" s="4" customFormat="1" ht="15.5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 spans="1:13" s="4" customFormat="1" ht="15.5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 spans="1:13" s="4" customFormat="1" ht="15.5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 spans="1:13" s="4" customFormat="1" ht="15.5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 spans="1:13" s="4" customFormat="1" ht="15.5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spans="1:13" s="4" customFormat="1" ht="15.5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 spans="1:13" s="4" customFormat="1" ht="15.5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 spans="1:13" s="4" customFormat="1" ht="15.5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 spans="1:13" s="4" customFormat="1" ht="15.5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 spans="1:13" s="4" customFormat="1" ht="15.5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spans="1:13" s="4" customFormat="1" ht="15.5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 spans="1:13" s="4" customFormat="1" ht="15.5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 spans="1:13" s="4" customFormat="1" ht="15.5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 spans="1:13" s="4" customFormat="1" ht="15.5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 spans="1:13" s="4" customFormat="1" ht="15.5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 spans="1:13" s="4" customFormat="1" ht="15.5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spans="1:13" s="4" customFormat="1" ht="15.5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spans="1:13" s="4" customFormat="1" ht="15.5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spans="1:13" s="4" customFormat="1" ht="15.5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 spans="1:13" s="4" customFormat="1" ht="15.5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 spans="1:13" s="4" customFormat="1" ht="15.5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spans="1:13" s="4" customFormat="1" ht="15.5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 spans="1:13" s="4" customFormat="1" ht="15.5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 spans="1:13" s="4" customFormat="1" ht="15.5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spans="1:13" s="4" customFormat="1" ht="15.5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 spans="1:13" s="4" customFormat="1" ht="15.5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 spans="1:13" s="4" customFormat="1" ht="15.5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 spans="1:13" s="4" customFormat="1" ht="15.5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spans="1:13" s="4" customFormat="1" ht="15.5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 spans="1:13" s="4" customFormat="1" ht="15.5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spans="1:13" s="4" customFormat="1" ht="15.5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 spans="1:13" s="4" customFormat="1" ht="15.5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spans="1:13" s="4" customFormat="1" ht="15.5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 spans="1:13" s="4" customFormat="1" ht="15.5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 spans="1:13" s="4" customFormat="1" ht="15.5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spans="1:13" s="4" customFormat="1" ht="15.5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spans="1:13" s="4" customFormat="1" ht="15.5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spans="1:13" s="4" customFormat="1" ht="15.5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spans="1:13" s="4" customFormat="1" ht="15.5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 spans="1:13" s="4" customFormat="1" ht="15.5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 spans="1:13" s="4" customFormat="1" ht="15.5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spans="1:13" s="4" customFormat="1" ht="15.5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 spans="1:13" s="4" customFormat="1" ht="15.5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 spans="1:13" s="4" customFormat="1" ht="15.5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 spans="1:13" s="4" customFormat="1" ht="15.5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 spans="1:13" s="4" customFormat="1" ht="15.5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spans="1:13" s="4" customFormat="1" ht="15.5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 spans="1:13" s="4" customFormat="1" ht="15.5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 spans="1:13" s="4" customFormat="1" ht="15.5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 spans="1:13" s="4" customFormat="1" ht="15.5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 spans="1:13" s="4" customFormat="1" ht="15.5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 spans="1:13" s="4" customFormat="1" ht="15.5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 spans="1:13" s="4" customFormat="1" ht="15.5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 spans="1:13" s="4" customFormat="1" ht="15.5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spans="1:13" s="4" customFormat="1" ht="15.5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spans="1:13" s="4" customFormat="1" ht="15.5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spans="1:13" s="4" customFormat="1" ht="15.5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 spans="1:13" s="4" customFormat="1" ht="15.5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spans="1:13" s="4" customFormat="1" ht="15.5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 spans="1:13" s="4" customFormat="1" ht="15.5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 spans="1:13" s="4" customFormat="1" ht="15.5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 spans="1:13" s="4" customFormat="1" ht="15.5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 spans="1:13" s="4" customFormat="1" ht="15.5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 spans="1:13" s="4" customFormat="1" ht="15.5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 spans="1:13" s="4" customFormat="1" ht="15.5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 spans="1:13" s="4" customFormat="1" ht="15.5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spans="1:13" s="4" customFormat="1" ht="15.5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 spans="1:13" s="4" customFormat="1" ht="15.5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 spans="1:13" s="4" customFormat="1" ht="15.5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spans="1:13" s="4" customFormat="1" ht="15.5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spans="1:13" s="4" customFormat="1" ht="15.5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spans="1:13" s="4" customFormat="1" ht="15.5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 spans="1:13" s="4" customFormat="1" ht="15.5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spans="1:13" s="4" customFormat="1" ht="15.5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 spans="1:13" s="4" customFormat="1" ht="15.5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 spans="1:13" s="4" customFormat="1" ht="15.5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 spans="1:13" s="4" customFormat="1" ht="15.5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 spans="1:13" s="4" customFormat="1" ht="15.5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 spans="1:13" s="4" customFormat="1" ht="15.5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spans="1:13" s="4" customFormat="1" ht="15.5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 spans="1:13" s="4" customFormat="1" ht="15.5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 spans="1:13" s="4" customFormat="1" ht="15.5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  <row r="387" spans="1:13" s="4" customFormat="1" ht="15.5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</row>
    <row r="388" spans="1:13" s="4" customFormat="1" ht="15.5" x14ac:dyDescent="0.3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</row>
    <row r="389" spans="1:13" s="4" customFormat="1" ht="15.5" x14ac:dyDescent="0.3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</row>
    <row r="390" spans="1:13" s="4" customFormat="1" ht="15.5" x14ac:dyDescent="0.3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</row>
    <row r="391" spans="1:13" s="4" customFormat="1" ht="15.5" x14ac:dyDescent="0.3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</row>
    <row r="392" spans="1:13" s="4" customFormat="1" ht="15.5" x14ac:dyDescent="0.3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</row>
  </sheetData>
  <mergeCells count="27">
    <mergeCell ref="H15:I15"/>
    <mergeCell ref="A1:K3"/>
    <mergeCell ref="A7:D7"/>
    <mergeCell ref="E7:G7"/>
    <mergeCell ref="J7:K7"/>
    <mergeCell ref="H9:I9"/>
    <mergeCell ref="J9:K9"/>
    <mergeCell ref="A11:C11"/>
    <mergeCell ref="D11:G11"/>
    <mergeCell ref="J11:K11"/>
    <mergeCell ref="D13:E13"/>
    <mergeCell ref="H13:I13"/>
    <mergeCell ref="G17:I17"/>
    <mergeCell ref="A19:B19"/>
    <mergeCell ref="A20:B20"/>
    <mergeCell ref="A21:B21"/>
    <mergeCell ref="A31:B31"/>
    <mergeCell ref="A25:B25"/>
    <mergeCell ref="A26:B26"/>
    <mergeCell ref="A27:B27"/>
    <mergeCell ref="A28:B28"/>
    <mergeCell ref="A29:B29"/>
    <mergeCell ref="A30:B30"/>
    <mergeCell ref="A22:B22"/>
    <mergeCell ref="A23:B23"/>
    <mergeCell ref="A24:B24"/>
    <mergeCell ref="A17:E18"/>
  </mergeCells>
  <dataValidations count="2">
    <dataValidation type="list" allowBlank="1" showInputMessage="1" showErrorMessage="1" sqref="J7:K7" xr:uid="{ABB88E74-F1CC-4FE6-B1E8-10901920A2B2}">
      <formula1>mois_bon2</formula1>
    </dataValidation>
    <dataValidation type="list" allowBlank="1" showInputMessage="1" showErrorMessage="1" sqref="E7" xr:uid="{1051654F-EA09-48AE-9015-259A585341DC}">
      <formula1>secteur</formula1>
    </dataValidation>
  </dataValidations>
  <pageMargins left="0.7" right="0.7" top="0.75" bottom="0.75" header="0.3" footer="0.3"/>
  <pageSetup paperSize="9" scale="65"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3FD1-E9D1-4043-BDDA-C4DA3730575E}">
  <sheetPr codeName="Feuil17">
    <tabColor rgb="FF7030A0"/>
  </sheetPr>
  <dimension ref="A1:M407"/>
  <sheetViews>
    <sheetView showGridLines="0" topLeftCell="A5" workbookViewId="0">
      <selection activeCell="H50" activeCellId="1" sqref="F54 H50"/>
    </sheetView>
  </sheetViews>
  <sheetFormatPr baseColWidth="10" defaultRowHeight="17.5" x14ac:dyDescent="0.35"/>
  <cols>
    <col min="1" max="1" width="10.90625" style="8"/>
    <col min="2" max="2" width="11.81640625" style="8" customWidth="1"/>
    <col min="3" max="3" width="14.1796875" style="8" customWidth="1"/>
    <col min="4" max="5" width="10.90625" style="8"/>
    <col min="6" max="6" width="3.54296875" style="8" customWidth="1"/>
    <col min="7" max="8" width="10.90625" style="8"/>
    <col min="9" max="9" width="14.453125" style="8" customWidth="1"/>
    <col min="10" max="10" width="10.90625" style="8"/>
    <col min="11" max="11" width="15.26953125" style="8" bestFit="1" customWidth="1"/>
    <col min="12" max="13" width="10.90625" style="8"/>
  </cols>
  <sheetData>
    <row r="1" spans="1:13" ht="7.5" customHeight="1" x14ac:dyDescent="0.35">
      <c r="A1" s="269" t="s">
        <v>50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</row>
    <row r="2" spans="1:13" ht="13.5" customHeight="1" x14ac:dyDescent="0.35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</row>
    <row r="3" spans="1:13" ht="15" hidden="1" customHeight="1" x14ac:dyDescent="0.35">
      <c r="A3" s="269"/>
      <c r="B3" s="269"/>
      <c r="C3" s="269"/>
      <c r="D3" s="269"/>
      <c r="E3" s="269"/>
      <c r="F3" s="269"/>
      <c r="G3" s="269"/>
      <c r="H3" s="269"/>
      <c r="I3" s="269"/>
      <c r="J3" s="269"/>
      <c r="K3" s="269"/>
    </row>
    <row r="4" spans="1:13" ht="5.25" customHeight="1" x14ac:dyDescent="0.35"/>
    <row r="5" spans="1:13" ht="13.5" customHeight="1" x14ac:dyDescent="0.35">
      <c r="A5" s="34" t="s">
        <v>52</v>
      </c>
    </row>
    <row r="6" spans="1:13" ht="5.25" customHeight="1" thickBot="1" x14ac:dyDescent="0.4">
      <c r="A6" s="34"/>
    </row>
    <row r="7" spans="1:13" s="23" customFormat="1" ht="16.5" thickTop="1" thickBot="1" x14ac:dyDescent="0.4">
      <c r="A7" s="270" t="s">
        <v>44</v>
      </c>
      <c r="B7" s="270"/>
      <c r="C7" s="270"/>
      <c r="D7" s="270"/>
      <c r="E7" s="271" t="s">
        <v>27</v>
      </c>
      <c r="F7" s="272"/>
      <c r="G7" s="273"/>
      <c r="I7" s="36" t="s">
        <v>46</v>
      </c>
      <c r="J7" s="274" t="s">
        <v>241</v>
      </c>
      <c r="K7" s="275"/>
      <c r="M7" s="28"/>
    </row>
    <row r="8" spans="1:13" ht="5.25" customHeight="1" thickTop="1" thickBot="1" x14ac:dyDescent="0.4"/>
    <row r="9" spans="1:13" ht="18.5" thickTop="1" thickBot="1" x14ac:dyDescent="0.4">
      <c r="H9" s="267" t="s">
        <v>53</v>
      </c>
      <c r="I9" s="268"/>
      <c r="J9" s="276">
        <v>46640</v>
      </c>
      <c r="K9" s="277"/>
    </row>
    <row r="10" spans="1:13" ht="18.5" thickTop="1" thickBot="1" x14ac:dyDescent="0.4">
      <c r="J10" s="45"/>
      <c r="K10" s="37"/>
    </row>
    <row r="11" spans="1:13" s="3" customFormat="1" ht="16.5" thickTop="1" thickBot="1" x14ac:dyDescent="0.4">
      <c r="A11" s="270" t="s">
        <v>45</v>
      </c>
      <c r="B11" s="270"/>
      <c r="C11" s="270"/>
      <c r="D11" s="271" t="s">
        <v>200</v>
      </c>
      <c r="E11" s="272"/>
      <c r="F11" s="272"/>
      <c r="G11" s="273"/>
      <c r="H11" s="23"/>
      <c r="I11" s="31" t="s">
        <v>47</v>
      </c>
      <c r="J11" s="271"/>
      <c r="K11" s="273"/>
      <c r="L11" s="23"/>
      <c r="M11" s="23"/>
    </row>
    <row r="12" spans="1:13" s="4" customFormat="1" ht="16.5" thickTop="1" thickBot="1" x14ac:dyDescent="0.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s="25" customFormat="1" ht="16.5" thickTop="1" thickBot="1" x14ac:dyDescent="0.4">
      <c r="A13" s="52" t="s">
        <v>76</v>
      </c>
      <c r="B13" s="46"/>
      <c r="C13" s="35">
        <v>1850000</v>
      </c>
      <c r="D13" s="267" t="s">
        <v>49</v>
      </c>
      <c r="E13" s="267"/>
      <c r="F13" s="32">
        <v>24</v>
      </c>
      <c r="G13" s="30" t="s">
        <v>48</v>
      </c>
      <c r="H13" s="278" t="s">
        <v>57</v>
      </c>
      <c r="I13" s="279"/>
      <c r="J13" s="187">
        <f>IF(C13&lt;1000000,F13*1.5%,F13%)</f>
        <v>0.24</v>
      </c>
      <c r="K13" s="24"/>
      <c r="L13" s="24"/>
      <c r="M13" s="24"/>
    </row>
    <row r="14" spans="1:13" s="4" customFormat="1" ht="16.5" thickTop="1" thickBot="1" x14ac:dyDescent="0.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s="3" customFormat="1" ht="16.5" thickTop="1" thickBot="1" x14ac:dyDescent="0.4">
      <c r="A15" s="23"/>
      <c r="B15" s="23"/>
      <c r="C15" s="23"/>
      <c r="D15" s="23"/>
      <c r="E15" s="23"/>
      <c r="F15" s="23"/>
      <c r="G15" s="23"/>
      <c r="H15" s="267" t="s">
        <v>26</v>
      </c>
      <c r="I15" s="268"/>
      <c r="J15" s="27">
        <f>C13*J13</f>
        <v>444000</v>
      </c>
      <c r="K15" s="23"/>
      <c r="L15" s="23"/>
      <c r="M15" s="23"/>
    </row>
    <row r="16" spans="1:13" s="4" customFormat="1" ht="16.5" thickTop="1" thickBot="1" x14ac:dyDescent="0.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s="4" customFormat="1" ht="18.75" customHeight="1" thickTop="1" thickBot="1" x14ac:dyDescent="0.4">
      <c r="A17" s="280" t="s">
        <v>51</v>
      </c>
      <c r="B17" s="280"/>
      <c r="C17" s="280"/>
      <c r="D17" s="280"/>
      <c r="E17" s="280"/>
      <c r="F17" s="15"/>
      <c r="G17" s="282" t="s">
        <v>73</v>
      </c>
      <c r="H17" s="282"/>
      <c r="I17" s="283"/>
      <c r="J17" s="51">
        <f>C13+J15</f>
        <v>2294000</v>
      </c>
      <c r="K17" s="15"/>
      <c r="L17" s="15"/>
      <c r="M17" s="15"/>
    </row>
    <row r="18" spans="1:13" s="4" customFormat="1" ht="13.5" customHeight="1" thickTop="1" thickBot="1" x14ac:dyDescent="0.4">
      <c r="A18" s="281"/>
      <c r="B18" s="281"/>
      <c r="C18" s="281"/>
      <c r="D18" s="281"/>
      <c r="E18" s="281"/>
      <c r="F18" s="15"/>
      <c r="G18" s="15"/>
      <c r="H18" s="15"/>
      <c r="I18" s="15"/>
      <c r="J18" s="15"/>
      <c r="K18" s="15"/>
      <c r="L18" s="15"/>
      <c r="M18" s="15"/>
    </row>
    <row r="19" spans="1:13" s="4" customFormat="1" ht="42.75" customHeight="1" thickTop="1" thickBot="1" x14ac:dyDescent="0.45">
      <c r="A19" s="284" t="s">
        <v>196</v>
      </c>
      <c r="B19" s="285"/>
      <c r="C19" s="38" t="s">
        <v>54</v>
      </c>
      <c r="D19" s="39" t="s">
        <v>55</v>
      </c>
      <c r="E19" s="40" t="s">
        <v>56</v>
      </c>
      <c r="F19" s="15"/>
      <c r="G19" s="26"/>
      <c r="H19" s="15"/>
      <c r="I19" s="15"/>
      <c r="J19" s="15"/>
      <c r="K19" s="15"/>
      <c r="L19" s="15"/>
      <c r="M19" s="15"/>
    </row>
    <row r="20" spans="1:13" s="4" customFormat="1" ht="16" thickBot="1" x14ac:dyDescent="0.4">
      <c r="A20" s="286">
        <v>45870</v>
      </c>
      <c r="B20" s="287"/>
      <c r="C20" s="41"/>
      <c r="D20" s="44"/>
      <c r="E20" s="43">
        <f t="shared" ref="E20:E45" si="0">C20-D20</f>
        <v>0</v>
      </c>
      <c r="F20" s="15"/>
      <c r="G20" s="15"/>
      <c r="H20" s="15"/>
      <c r="I20" s="15"/>
      <c r="J20" s="15"/>
      <c r="K20" s="15"/>
      <c r="L20" s="15"/>
      <c r="M20" s="15"/>
    </row>
    <row r="21" spans="1:13" s="4" customFormat="1" ht="16" thickBot="1" x14ac:dyDescent="0.4">
      <c r="A21" s="286">
        <v>45901</v>
      </c>
      <c r="B21" s="287"/>
      <c r="C21" s="41"/>
      <c r="D21" s="44"/>
      <c r="E21" s="43">
        <f t="shared" si="0"/>
        <v>0</v>
      </c>
      <c r="F21" s="15"/>
      <c r="G21" s="15"/>
      <c r="H21" s="15"/>
      <c r="I21" s="15"/>
      <c r="J21" s="15"/>
      <c r="K21" s="15"/>
      <c r="L21" s="15"/>
      <c r="M21" s="15"/>
    </row>
    <row r="22" spans="1:13" s="4" customFormat="1" ht="16" thickBot="1" x14ac:dyDescent="0.4">
      <c r="A22" s="286">
        <v>45931</v>
      </c>
      <c r="B22" s="287"/>
      <c r="C22" s="41">
        <f t="shared" ref="C22:C32" si="1">J$17/F$13</f>
        <v>95583.333333333328</v>
      </c>
      <c r="D22" s="44"/>
      <c r="E22" s="43">
        <f t="shared" si="0"/>
        <v>95583.333333333328</v>
      </c>
      <c r="F22" s="15"/>
      <c r="G22" s="15"/>
      <c r="H22" s="15"/>
      <c r="I22" s="15"/>
      <c r="J22" s="15"/>
      <c r="K22" s="15"/>
      <c r="L22" s="15"/>
      <c r="M22" s="15"/>
    </row>
    <row r="23" spans="1:13" s="4" customFormat="1" ht="16" thickBot="1" x14ac:dyDescent="0.4">
      <c r="A23" s="286">
        <v>45962</v>
      </c>
      <c r="B23" s="287"/>
      <c r="C23" s="41">
        <f t="shared" si="1"/>
        <v>95583.333333333328</v>
      </c>
      <c r="D23" s="44"/>
      <c r="E23" s="43">
        <f t="shared" si="0"/>
        <v>95583.333333333328</v>
      </c>
      <c r="F23" s="15"/>
      <c r="G23" s="15"/>
      <c r="H23" s="15"/>
      <c r="I23" s="15"/>
      <c r="J23" s="15"/>
      <c r="K23" s="15"/>
      <c r="L23" s="15"/>
      <c r="M23" s="15"/>
    </row>
    <row r="24" spans="1:13" s="4" customFormat="1" ht="16" thickBot="1" x14ac:dyDescent="0.4">
      <c r="A24" s="286">
        <v>45992</v>
      </c>
      <c r="B24" s="287"/>
      <c r="C24" s="41">
        <f t="shared" si="1"/>
        <v>95583.333333333328</v>
      </c>
      <c r="D24" s="44"/>
      <c r="E24" s="43">
        <f t="shared" si="0"/>
        <v>95583.333333333328</v>
      </c>
      <c r="F24" s="15"/>
      <c r="G24" s="15"/>
      <c r="H24" s="15"/>
      <c r="I24" s="15"/>
      <c r="J24" s="15"/>
      <c r="K24" s="15"/>
      <c r="L24" s="15"/>
      <c r="M24" s="15"/>
    </row>
    <row r="25" spans="1:13" s="4" customFormat="1" ht="16" thickBot="1" x14ac:dyDescent="0.4">
      <c r="A25" s="286">
        <v>46023</v>
      </c>
      <c r="B25" s="287"/>
      <c r="C25" s="41">
        <f t="shared" si="1"/>
        <v>95583.333333333328</v>
      </c>
      <c r="D25" s="44"/>
      <c r="E25" s="43">
        <f t="shared" ref="E25:E32" si="2">C25-D25</f>
        <v>95583.333333333328</v>
      </c>
      <c r="F25" s="15"/>
      <c r="G25" s="15"/>
      <c r="H25" s="15"/>
      <c r="I25" s="15"/>
      <c r="J25" s="15"/>
      <c r="K25" s="15"/>
      <c r="L25" s="15"/>
      <c r="M25" s="15"/>
    </row>
    <row r="26" spans="1:13" s="4" customFormat="1" ht="16" thickBot="1" x14ac:dyDescent="0.4">
      <c r="A26" s="286">
        <v>46054</v>
      </c>
      <c r="B26" s="287"/>
      <c r="C26" s="41">
        <f t="shared" si="1"/>
        <v>95583.333333333328</v>
      </c>
      <c r="D26" s="44"/>
      <c r="E26" s="43">
        <f t="shared" si="2"/>
        <v>95583.333333333328</v>
      </c>
      <c r="F26" s="15"/>
      <c r="G26" s="15"/>
      <c r="H26" s="15"/>
      <c r="I26" s="15"/>
      <c r="J26" s="15"/>
      <c r="K26" s="15"/>
      <c r="L26" s="15"/>
      <c r="M26" s="15"/>
    </row>
    <row r="27" spans="1:13" s="4" customFormat="1" ht="16" thickBot="1" x14ac:dyDescent="0.4">
      <c r="A27" s="286">
        <v>46082</v>
      </c>
      <c r="B27" s="287"/>
      <c r="C27" s="41">
        <f t="shared" si="1"/>
        <v>95583.333333333328</v>
      </c>
      <c r="D27" s="44"/>
      <c r="E27" s="43">
        <f t="shared" si="2"/>
        <v>95583.333333333328</v>
      </c>
      <c r="F27" s="15"/>
      <c r="G27" s="15"/>
      <c r="H27" s="15"/>
      <c r="I27" s="15"/>
      <c r="J27" s="15"/>
      <c r="K27" s="15"/>
      <c r="L27" s="15"/>
      <c r="M27" s="15"/>
    </row>
    <row r="28" spans="1:13" s="4" customFormat="1" ht="16" thickBot="1" x14ac:dyDescent="0.4">
      <c r="A28" s="286">
        <v>46113</v>
      </c>
      <c r="B28" s="287"/>
      <c r="C28" s="41">
        <f t="shared" si="1"/>
        <v>95583.333333333328</v>
      </c>
      <c r="D28" s="44"/>
      <c r="E28" s="43">
        <f t="shared" si="2"/>
        <v>95583.333333333328</v>
      </c>
      <c r="F28" s="15"/>
      <c r="G28" s="15"/>
      <c r="H28" s="15"/>
      <c r="I28" s="15"/>
      <c r="J28" s="15"/>
      <c r="K28" s="15"/>
      <c r="L28" s="15"/>
      <c r="M28" s="15"/>
    </row>
    <row r="29" spans="1:13" s="4" customFormat="1" ht="16" thickBot="1" x14ac:dyDescent="0.4">
      <c r="A29" s="286">
        <v>46143</v>
      </c>
      <c r="B29" s="287"/>
      <c r="C29" s="41">
        <f t="shared" si="1"/>
        <v>95583.333333333328</v>
      </c>
      <c r="D29" s="44"/>
      <c r="E29" s="43">
        <f t="shared" si="2"/>
        <v>95583.333333333328</v>
      </c>
      <c r="F29" s="15"/>
      <c r="G29" s="15"/>
      <c r="H29" s="15"/>
      <c r="I29" s="15"/>
      <c r="J29" s="15"/>
      <c r="K29" s="15"/>
      <c r="L29" s="15"/>
      <c r="M29" s="15"/>
    </row>
    <row r="30" spans="1:13" s="4" customFormat="1" ht="16" thickBot="1" x14ac:dyDescent="0.4">
      <c r="A30" s="286">
        <v>46174</v>
      </c>
      <c r="B30" s="287"/>
      <c r="C30" s="41">
        <f t="shared" si="1"/>
        <v>95583.333333333328</v>
      </c>
      <c r="D30" s="44"/>
      <c r="E30" s="43">
        <f t="shared" si="2"/>
        <v>95583.333333333328</v>
      </c>
      <c r="F30" s="15"/>
      <c r="G30" s="15"/>
      <c r="H30" s="15"/>
      <c r="I30" s="15"/>
      <c r="J30" s="15"/>
      <c r="K30" s="15"/>
      <c r="L30" s="15"/>
      <c r="M30" s="15"/>
    </row>
    <row r="31" spans="1:13" s="4" customFormat="1" ht="16" thickBot="1" x14ac:dyDescent="0.4">
      <c r="A31" s="286">
        <v>46204</v>
      </c>
      <c r="B31" s="287"/>
      <c r="C31" s="41">
        <f t="shared" si="1"/>
        <v>95583.333333333328</v>
      </c>
      <c r="D31" s="44"/>
      <c r="E31" s="43">
        <f t="shared" si="2"/>
        <v>95583.333333333328</v>
      </c>
      <c r="F31" s="15"/>
      <c r="G31" s="15"/>
      <c r="H31" s="15"/>
      <c r="I31" s="15"/>
      <c r="J31" s="15"/>
      <c r="K31" s="15"/>
      <c r="L31" s="15"/>
      <c r="M31" s="15"/>
    </row>
    <row r="32" spans="1:13" s="4" customFormat="1" ht="16" thickBot="1" x14ac:dyDescent="0.4">
      <c r="A32" s="286">
        <v>46235</v>
      </c>
      <c r="B32" s="287"/>
      <c r="C32" s="41">
        <f t="shared" si="1"/>
        <v>95583.333333333328</v>
      </c>
      <c r="D32" s="44"/>
      <c r="E32" s="43">
        <f t="shared" si="2"/>
        <v>95583.333333333328</v>
      </c>
      <c r="F32" s="15"/>
      <c r="G32" s="15"/>
      <c r="H32" s="15"/>
      <c r="I32" s="15"/>
      <c r="J32" s="15"/>
      <c r="K32" s="15"/>
      <c r="L32" s="15"/>
      <c r="M32" s="15"/>
    </row>
    <row r="33" spans="1:13" s="4" customFormat="1" ht="16" thickBot="1" x14ac:dyDescent="0.4">
      <c r="A33" s="286">
        <v>46266</v>
      </c>
      <c r="B33" s="287"/>
      <c r="C33" s="41">
        <f t="shared" ref="C33:C35" si="3">J$17/F$13</f>
        <v>95583.333333333328</v>
      </c>
      <c r="D33" s="44"/>
      <c r="E33" s="43">
        <f t="shared" ref="E33:E35" si="4">C33-D33</f>
        <v>95583.333333333328</v>
      </c>
      <c r="F33" s="15"/>
      <c r="G33" s="15"/>
      <c r="H33" s="15"/>
      <c r="I33" s="15"/>
      <c r="J33" s="15"/>
      <c r="K33" s="15"/>
      <c r="L33" s="15"/>
      <c r="M33" s="15"/>
    </row>
    <row r="34" spans="1:13" s="4" customFormat="1" ht="16" thickBot="1" x14ac:dyDescent="0.4">
      <c r="A34" s="286">
        <v>46296</v>
      </c>
      <c r="B34" s="287"/>
      <c r="C34" s="41">
        <f t="shared" si="3"/>
        <v>95583.333333333328</v>
      </c>
      <c r="D34" s="44"/>
      <c r="E34" s="43">
        <f t="shared" si="4"/>
        <v>95583.333333333328</v>
      </c>
      <c r="F34" s="15"/>
      <c r="G34" s="15"/>
      <c r="H34" s="15"/>
      <c r="I34" s="15"/>
      <c r="J34" s="15"/>
      <c r="K34" s="15"/>
      <c r="L34" s="15"/>
      <c r="M34" s="15"/>
    </row>
    <row r="35" spans="1:13" s="4" customFormat="1" ht="16" thickBot="1" x14ac:dyDescent="0.4">
      <c r="A35" s="286">
        <v>46327</v>
      </c>
      <c r="B35" s="287"/>
      <c r="C35" s="41">
        <f t="shared" si="3"/>
        <v>95583.333333333328</v>
      </c>
      <c r="D35" s="44"/>
      <c r="E35" s="43">
        <f t="shared" si="4"/>
        <v>95583.333333333328</v>
      </c>
      <c r="F35" s="15"/>
      <c r="G35" s="15"/>
      <c r="H35" s="15"/>
      <c r="I35" s="15"/>
      <c r="J35" s="15"/>
      <c r="K35" s="15"/>
      <c r="L35" s="15"/>
      <c r="M35" s="15"/>
    </row>
    <row r="36" spans="1:13" s="4" customFormat="1" ht="16" thickBot="1" x14ac:dyDescent="0.4">
      <c r="A36" s="286">
        <v>46357</v>
      </c>
      <c r="B36" s="287"/>
      <c r="C36" s="41">
        <f t="shared" ref="C36:C44" si="5">J$17/F$13</f>
        <v>95583.333333333328</v>
      </c>
      <c r="D36" s="44"/>
      <c r="E36" s="43">
        <f t="shared" si="0"/>
        <v>95583.333333333328</v>
      </c>
      <c r="F36" s="15"/>
      <c r="G36" s="15"/>
      <c r="H36" s="15"/>
      <c r="I36" s="15"/>
      <c r="J36" s="15"/>
      <c r="K36" s="15"/>
      <c r="L36" s="15"/>
      <c r="M36" s="15"/>
    </row>
    <row r="37" spans="1:13" s="4" customFormat="1" ht="16" thickBot="1" x14ac:dyDescent="0.4">
      <c r="A37" s="286">
        <v>46388</v>
      </c>
      <c r="B37" s="287"/>
      <c r="C37" s="41">
        <f t="shared" si="5"/>
        <v>95583.333333333328</v>
      </c>
      <c r="D37" s="44"/>
      <c r="E37" s="43">
        <f t="shared" si="0"/>
        <v>95583.333333333328</v>
      </c>
      <c r="F37" s="15"/>
      <c r="G37" s="15"/>
      <c r="H37" s="15"/>
      <c r="I37" s="15"/>
      <c r="J37" s="15"/>
      <c r="K37" s="15"/>
      <c r="L37" s="15"/>
      <c r="M37" s="15"/>
    </row>
    <row r="38" spans="1:13" s="4" customFormat="1" ht="16" thickBot="1" x14ac:dyDescent="0.4">
      <c r="A38" s="286">
        <v>46419</v>
      </c>
      <c r="B38" s="287"/>
      <c r="C38" s="41">
        <f t="shared" si="5"/>
        <v>95583.333333333328</v>
      </c>
      <c r="D38" s="44"/>
      <c r="E38" s="43">
        <f t="shared" si="0"/>
        <v>95583.333333333328</v>
      </c>
      <c r="F38" s="15"/>
      <c r="G38" s="15"/>
      <c r="H38" s="15"/>
      <c r="I38" s="15"/>
      <c r="J38" s="15"/>
      <c r="K38" s="15"/>
      <c r="L38" s="15"/>
      <c r="M38" s="15"/>
    </row>
    <row r="39" spans="1:13" s="4" customFormat="1" ht="16" thickBot="1" x14ac:dyDescent="0.4">
      <c r="A39" s="286">
        <v>46447</v>
      </c>
      <c r="B39" s="287"/>
      <c r="C39" s="41">
        <f t="shared" si="5"/>
        <v>95583.333333333328</v>
      </c>
      <c r="D39" s="44"/>
      <c r="E39" s="43">
        <f t="shared" si="0"/>
        <v>95583.333333333328</v>
      </c>
      <c r="F39" s="15"/>
      <c r="G39" s="15"/>
      <c r="H39" s="15"/>
      <c r="I39" s="15"/>
      <c r="J39" s="15"/>
      <c r="K39" s="15"/>
      <c r="L39" s="15"/>
      <c r="M39" s="15"/>
    </row>
    <row r="40" spans="1:13" s="4" customFormat="1" ht="16" thickBot="1" x14ac:dyDescent="0.4">
      <c r="A40" s="286">
        <v>46478</v>
      </c>
      <c r="B40" s="287"/>
      <c r="C40" s="41">
        <f t="shared" si="5"/>
        <v>95583.333333333328</v>
      </c>
      <c r="D40" s="44"/>
      <c r="E40" s="43">
        <f t="shared" si="0"/>
        <v>95583.333333333328</v>
      </c>
      <c r="F40" s="15"/>
      <c r="G40" s="15"/>
      <c r="H40" s="15"/>
      <c r="I40" s="15"/>
      <c r="J40" s="15"/>
      <c r="K40" s="15"/>
      <c r="L40" s="15"/>
      <c r="M40" s="15"/>
    </row>
    <row r="41" spans="1:13" s="4" customFormat="1" ht="16" thickBot="1" x14ac:dyDescent="0.4">
      <c r="A41" s="286">
        <v>46508</v>
      </c>
      <c r="B41" s="287"/>
      <c r="C41" s="41">
        <f t="shared" si="5"/>
        <v>95583.333333333328</v>
      </c>
      <c r="D41" s="44"/>
      <c r="E41" s="43">
        <f t="shared" si="0"/>
        <v>95583.333333333328</v>
      </c>
      <c r="F41" s="15"/>
      <c r="G41" s="15"/>
      <c r="H41" s="15"/>
      <c r="I41" s="15"/>
      <c r="J41" s="15"/>
      <c r="K41" s="15"/>
      <c r="L41" s="15"/>
      <c r="M41" s="15"/>
    </row>
    <row r="42" spans="1:13" s="4" customFormat="1" ht="16" thickBot="1" x14ac:dyDescent="0.4">
      <c r="A42" s="286">
        <v>46539</v>
      </c>
      <c r="B42" s="287"/>
      <c r="C42" s="41">
        <f t="shared" si="5"/>
        <v>95583.333333333328</v>
      </c>
      <c r="D42" s="44"/>
      <c r="E42" s="43">
        <f t="shared" si="0"/>
        <v>95583.333333333328</v>
      </c>
      <c r="F42" s="15"/>
      <c r="G42" s="15"/>
      <c r="H42" s="15"/>
      <c r="I42" s="15"/>
      <c r="J42" s="15"/>
      <c r="K42" s="15"/>
      <c r="L42" s="15"/>
      <c r="M42" s="15"/>
    </row>
    <row r="43" spans="1:13" s="4" customFormat="1" ht="16" thickBot="1" x14ac:dyDescent="0.4">
      <c r="A43" s="286">
        <v>46569</v>
      </c>
      <c r="B43" s="287"/>
      <c r="C43" s="41">
        <f t="shared" si="5"/>
        <v>95583.333333333328</v>
      </c>
      <c r="D43" s="44"/>
      <c r="E43" s="43">
        <f t="shared" si="0"/>
        <v>95583.333333333328</v>
      </c>
      <c r="F43" s="15"/>
      <c r="G43" s="15"/>
      <c r="H43" s="15"/>
      <c r="I43" s="15"/>
      <c r="J43" s="15"/>
      <c r="K43" s="15"/>
      <c r="L43" s="15"/>
      <c r="M43" s="15"/>
    </row>
    <row r="44" spans="1:13" s="4" customFormat="1" ht="16" thickBot="1" x14ac:dyDescent="0.4">
      <c r="A44" s="286">
        <v>46600</v>
      </c>
      <c r="B44" s="287"/>
      <c r="C44" s="41">
        <f t="shared" si="5"/>
        <v>95583.333333333328</v>
      </c>
      <c r="D44" s="44"/>
      <c r="E44" s="43">
        <f t="shared" ref="E44" si="6">C44-D44</f>
        <v>95583.333333333328</v>
      </c>
      <c r="F44" s="15"/>
      <c r="G44" s="15"/>
      <c r="H44" s="15"/>
      <c r="I44" s="15"/>
      <c r="J44" s="15"/>
      <c r="K44" s="15"/>
      <c r="L44" s="15"/>
      <c r="M44" s="15"/>
    </row>
    <row r="45" spans="1:13" s="4" customFormat="1" ht="16" thickBot="1" x14ac:dyDescent="0.4">
      <c r="A45" s="286">
        <v>46631</v>
      </c>
      <c r="B45" s="287"/>
      <c r="C45" s="41">
        <f t="shared" ref="C45" si="7">J$17/F$13</f>
        <v>95583.333333333328</v>
      </c>
      <c r="D45" s="44"/>
      <c r="E45" s="43">
        <f t="shared" si="0"/>
        <v>95583.333333333328</v>
      </c>
      <c r="F45" s="15"/>
      <c r="G45" s="15"/>
      <c r="H45" s="15"/>
      <c r="I45" s="15"/>
      <c r="J45" s="15"/>
      <c r="K45" s="15"/>
      <c r="L45" s="15"/>
      <c r="M45" s="15"/>
    </row>
    <row r="46" spans="1:13" s="3" customFormat="1" ht="20.25" customHeight="1" thickBot="1" x14ac:dyDescent="0.4">
      <c r="A46" s="288" t="s">
        <v>43</v>
      </c>
      <c r="B46" s="289"/>
      <c r="C46" s="29">
        <f>SUM(C20:C45)</f>
        <v>2293999.9999999995</v>
      </c>
      <c r="D46" s="29">
        <f>SUM(D20:D45)</f>
        <v>0</v>
      </c>
      <c r="E46" s="29">
        <f>SUM(E20:E45)</f>
        <v>2293999.9999999995</v>
      </c>
      <c r="F46" s="23"/>
      <c r="G46" s="23"/>
      <c r="H46" s="23"/>
      <c r="I46" s="23"/>
      <c r="J46" s="23"/>
      <c r="K46" s="23"/>
      <c r="L46" s="23"/>
      <c r="M46" s="23"/>
    </row>
    <row r="47" spans="1:13" s="4" customFormat="1" ht="16" thickTop="1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s="4" customFormat="1" ht="15.5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s="4" customFormat="1" ht="15.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s="4" customFormat="1" ht="15.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s="4" customFormat="1" ht="15.5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s="4" customFormat="1" ht="15.5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s="4" customFormat="1" ht="15.5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s="4" customFormat="1" ht="15.5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s="4" customFormat="1" ht="15.5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 s="4" customFormat="1" ht="15.5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s="4" customFormat="1" ht="15.5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 s="4" customFormat="1" ht="15.5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s="4" customFormat="1" ht="15.5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s="4" customFormat="1" ht="15.5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s="4" customFormat="1" ht="15.5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 s="4" customFormat="1" ht="15.5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s="4" customFormat="1" ht="15.5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 s="4" customFormat="1" ht="15.5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s="4" customFormat="1" ht="15.5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s="4" customFormat="1" ht="15.5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s="4" customFormat="1" ht="15.5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s="4" customFormat="1" ht="15.5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s="4" customFormat="1" ht="15.5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s="4" customFormat="1" ht="15.5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s="4" customFormat="1" ht="15.5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s="4" customFormat="1" ht="15.5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s="4" customFormat="1" ht="15.5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s="4" customFormat="1" ht="15.5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 s="4" customFormat="1" ht="15.5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s="4" customFormat="1" ht="15.5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s="4" customFormat="1" ht="15.5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 s="4" customFormat="1" ht="15.5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s="4" customFormat="1" ht="15.5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s="4" customFormat="1" ht="15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s="4" customFormat="1" ht="15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s="4" customFormat="1" ht="15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 s="4" customFormat="1" ht="15.5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s="4" customFormat="1" ht="15.5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1:13" s="4" customFormat="1" ht="15.5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1:13" s="4" customFormat="1" ht="15.5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 s="4" customFormat="1" ht="15.5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 s="4" customFormat="1" ht="15.5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s="4" customFormat="1" ht="15.5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 s="4" customFormat="1" ht="15.5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 s="4" customFormat="1" ht="15.5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 s="4" customFormat="1" ht="15.5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 s="4" customFormat="1" ht="15.5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1:13" s="4" customFormat="1" ht="15.5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s="4" customFormat="1" ht="15.5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 s="4" customFormat="1" ht="15.5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s="4" customFormat="1" ht="15.5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s="4" customFormat="1" ht="15.5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1:13" s="4" customFormat="1" ht="15.5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 s="4" customFormat="1" ht="15.5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s="4" customFormat="1" ht="15.5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1:13" s="4" customFormat="1" ht="15.5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s="4" customFormat="1" ht="15.5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s="4" customFormat="1" ht="15.5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1:13" s="4" customFormat="1" ht="15.5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1:13" s="4" customFormat="1" ht="15.5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1:13" s="4" customFormat="1" ht="15.5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 s="4" customFormat="1" ht="15.5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1:13" s="4" customFormat="1" ht="15.5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s="4" customFormat="1" ht="15.5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1:13" s="4" customFormat="1" ht="15.5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 s="4" customFormat="1" ht="15.5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1:13" s="4" customFormat="1" ht="15.5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 s="4" customFormat="1" ht="15.5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 s="4" customFormat="1" ht="15.5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 s="4" customFormat="1" ht="15.5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 s="4" customFormat="1" ht="15.5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 s="4" customFormat="1" ht="15.5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 s="4" customFormat="1" ht="15.5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 s="4" customFormat="1" ht="15.5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 s="4" customFormat="1" ht="15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1:13" s="4" customFormat="1" ht="15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1:13" s="4" customFormat="1" ht="15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1:13" s="4" customFormat="1" ht="15.5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1:13" s="4" customFormat="1" ht="15.5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1:13" s="4" customFormat="1" ht="15.5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 s="4" customFormat="1" ht="15.5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1:13" s="4" customFormat="1" ht="15.5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s="4" customFormat="1" ht="15.5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3" s="4" customFormat="1" ht="15.5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1:13" s="4" customFormat="1" ht="15.5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 s="4" customFormat="1" ht="15.5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 s="4" customFormat="1" ht="15.5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 s="4" customFormat="1" ht="15.5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 s="4" customFormat="1" ht="15.5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 s="4" customFormat="1" ht="15.5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1:13" s="4" customFormat="1" ht="15.5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1:13" s="4" customFormat="1" ht="15.5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1:13" s="4" customFormat="1" ht="15.5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 s="4" customFormat="1" ht="15.5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1:13" s="4" customFormat="1" ht="15.5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 s="4" customFormat="1" ht="15.5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 s="4" customFormat="1" ht="15.5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1:13" s="4" customFormat="1" ht="15.5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1:13" s="4" customFormat="1" ht="15.5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 s="4" customFormat="1" ht="15.5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1:13" s="4" customFormat="1" ht="15.5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 s="4" customFormat="1" ht="15.5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1:13" s="4" customFormat="1" ht="15.5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1:13" s="4" customFormat="1" ht="15.5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 s="4" customFormat="1" ht="15.5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 s="4" customFormat="1" ht="15.5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s="4" customFormat="1" ht="15.5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 s="4" customFormat="1" ht="15.5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1:13" s="4" customFormat="1" ht="15.5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 s="4" customFormat="1" ht="15.5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spans="1:13" s="4" customFormat="1" ht="15.5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spans="1:13" s="4" customFormat="1" ht="15.5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spans="1:13" s="4" customFormat="1" ht="15.5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1:13" s="4" customFormat="1" ht="15.5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1:13" s="4" customFormat="1" ht="15.5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1:13" s="4" customFormat="1" ht="15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1:13" s="4" customFormat="1" ht="15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1:13" s="4" customFormat="1" ht="15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spans="1:13" s="4" customFormat="1" ht="15.5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1:13" s="4" customFormat="1" ht="15.5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1:13" s="4" customFormat="1" ht="15.5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spans="1:13" s="4" customFormat="1" ht="15.5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spans="1:13" s="4" customFormat="1" ht="15.5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spans="1:13" s="4" customFormat="1" ht="15.5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spans="1:13" s="4" customFormat="1" ht="15.5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spans="1:13" s="4" customFormat="1" ht="15.5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spans="1:13" s="4" customFormat="1" ht="15.5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spans="1:13" s="4" customFormat="1" ht="15.5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spans="1:13" s="4" customFormat="1" ht="15.5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spans="1:13" s="4" customFormat="1" ht="15.5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spans="1:13" s="4" customFormat="1" ht="15.5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1:13" s="4" customFormat="1" ht="15.5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spans="1:13" s="4" customFormat="1" ht="15.5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1:13" s="4" customFormat="1" ht="15.5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spans="1:13" s="4" customFormat="1" ht="15.5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1:13" s="4" customFormat="1" ht="15.5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spans="1:13" s="4" customFormat="1" ht="15.5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1:13" s="4" customFormat="1" ht="15.5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spans="1:13" s="4" customFormat="1" ht="15.5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spans="1:13" s="4" customFormat="1" ht="15.5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spans="1:13" s="4" customFormat="1" ht="15.5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1:13" s="4" customFormat="1" ht="15.5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spans="1:13" s="4" customFormat="1" ht="15.5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1:13" s="4" customFormat="1" ht="15.5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spans="1:13" s="4" customFormat="1" ht="15.5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spans="1:13" s="4" customFormat="1" ht="15.5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spans="1:13" s="4" customFormat="1" ht="15.5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spans="1:13" s="4" customFormat="1" ht="15.5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spans="1:13" s="4" customFormat="1" ht="15.5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1:13" s="4" customFormat="1" ht="15.5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spans="1:13" s="4" customFormat="1" ht="15.5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spans="1:13" s="4" customFormat="1" ht="15.5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1:13" s="4" customFormat="1" ht="15.5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1:13" s="4" customFormat="1" ht="15.5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1:13" s="4" customFormat="1" ht="15.5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spans="1:13" s="4" customFormat="1" ht="15.5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spans="1:13" s="4" customFormat="1" ht="15.5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  <row r="204" spans="1:13" s="4" customFormat="1" ht="15.5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</row>
    <row r="205" spans="1:13" s="4" customFormat="1" ht="15.5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</row>
    <row r="206" spans="1:13" s="4" customFormat="1" ht="15.5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1:13" s="4" customFormat="1" ht="15.5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spans="1:13" s="4" customFormat="1" ht="15.5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1:13" s="4" customFormat="1" ht="15.5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</row>
    <row r="210" spans="1:13" s="4" customFormat="1" ht="15.5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</row>
    <row r="211" spans="1:13" s="4" customFormat="1" ht="15.5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</row>
    <row r="212" spans="1:13" s="4" customFormat="1" ht="15.5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spans="1:13" s="4" customFormat="1" ht="15.5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</row>
    <row r="214" spans="1:13" s="4" customFormat="1" ht="15.5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spans="1:13" s="4" customFormat="1" ht="15.5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spans="1:13" s="4" customFormat="1" ht="15.5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spans="1:13" s="4" customFormat="1" ht="15.5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spans="1:13" s="4" customFormat="1" ht="15.5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spans="1:13" s="4" customFormat="1" ht="15.5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spans="1:13" s="4" customFormat="1" ht="15.5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spans="1:13" s="4" customFormat="1" ht="15.5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spans="1:13" s="4" customFormat="1" ht="15.5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spans="1:13" s="4" customFormat="1" ht="15.5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spans="1:13" s="4" customFormat="1" ht="15.5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5" spans="1:13" s="4" customFormat="1" ht="15.5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spans="1:13" s="4" customFormat="1" ht="15.5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27" spans="1:13" s="4" customFormat="1" ht="15.5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spans="1:13" s="4" customFormat="1" ht="15.5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spans="1:13" s="4" customFormat="1" ht="15.5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spans="1:13" s="4" customFormat="1" ht="15.5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</row>
    <row r="231" spans="1:13" s="4" customFormat="1" ht="15.5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</row>
    <row r="232" spans="1:13" s="4" customFormat="1" ht="15.5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</row>
    <row r="233" spans="1:13" s="4" customFormat="1" ht="15.5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</row>
    <row r="234" spans="1:13" s="4" customFormat="1" ht="15.5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spans="1:13" s="4" customFormat="1" ht="15.5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</row>
    <row r="236" spans="1:13" s="4" customFormat="1" ht="15.5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spans="1:13" s="4" customFormat="1" ht="15.5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</row>
    <row r="238" spans="1:13" s="4" customFormat="1" ht="15.5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spans="1:13" s="4" customFormat="1" ht="15.5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</row>
    <row r="240" spans="1:13" s="4" customFormat="1" ht="15.5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spans="1:13" s="4" customFormat="1" ht="15.5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</row>
    <row r="242" spans="1:13" s="4" customFormat="1" ht="15.5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3" spans="1:13" s="4" customFormat="1" ht="15.5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</row>
    <row r="244" spans="1:13" s="4" customFormat="1" ht="15.5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1:13" s="4" customFormat="1" ht="15.5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spans="1:13" s="4" customFormat="1" ht="15.5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spans="1:13" s="4" customFormat="1" ht="15.5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spans="1:13" s="4" customFormat="1" ht="15.5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spans="1:13" s="4" customFormat="1" ht="15.5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spans="1:13" s="4" customFormat="1" ht="15.5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</row>
    <row r="251" spans="1:13" s="4" customFormat="1" ht="15.5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spans="1:13" s="4" customFormat="1" ht="15.5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spans="1:13" s="4" customFormat="1" ht="15.5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</row>
    <row r="254" spans="1:13" s="4" customFormat="1" ht="15.5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spans="1:13" s="4" customFormat="1" ht="15.5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</row>
    <row r="256" spans="1:13" s="4" customFormat="1" ht="15.5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</row>
    <row r="257" spans="1:13" s="4" customFormat="1" ht="15.5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spans="1:13" s="4" customFormat="1" ht="15.5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</row>
    <row r="259" spans="1:13" s="4" customFormat="1" ht="15.5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spans="1:13" s="4" customFormat="1" ht="15.5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spans="1:13" s="4" customFormat="1" ht="15.5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spans="1:13" s="4" customFormat="1" ht="15.5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spans="1:13" s="4" customFormat="1" ht="15.5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spans="1:13" s="4" customFormat="1" ht="15.5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spans="1:13" s="4" customFormat="1" ht="15.5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spans="1:13" s="4" customFormat="1" ht="15.5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spans="1:13" s="4" customFormat="1" ht="15.5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</row>
    <row r="268" spans="1:13" s="4" customFormat="1" ht="15.5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spans="1:13" s="4" customFormat="1" ht="15.5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</row>
    <row r="270" spans="1:13" s="4" customFormat="1" ht="15.5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</row>
    <row r="271" spans="1:13" s="4" customFormat="1" ht="15.5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</row>
    <row r="272" spans="1:13" s="4" customFormat="1" ht="15.5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spans="1:13" s="4" customFormat="1" ht="15.5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spans="1:13" s="4" customFormat="1" ht="15.5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</row>
    <row r="275" spans="1:13" s="4" customFormat="1" ht="15.5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</row>
    <row r="276" spans="1:13" s="4" customFormat="1" ht="15.5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spans="1:13" s="4" customFormat="1" ht="15.5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 spans="1:13" s="4" customFormat="1" ht="15.5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 spans="1:13" s="4" customFormat="1" ht="15.5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 spans="1:13" s="4" customFormat="1" ht="15.5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spans="1:13" s="4" customFormat="1" ht="15.5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 spans="1:13" s="4" customFormat="1" ht="15.5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spans="1:13" s="4" customFormat="1" ht="15.5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spans="1:13" s="4" customFormat="1" ht="15.5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spans="1:13" s="4" customFormat="1" ht="15.5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spans="1:13" s="4" customFormat="1" ht="15.5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 spans="1:13" s="4" customFormat="1" ht="15.5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 spans="1:13" s="4" customFormat="1" ht="15.5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 spans="1:13" s="4" customFormat="1" ht="15.5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spans="1:13" s="4" customFormat="1" ht="15.5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 spans="1:13" s="4" customFormat="1" ht="15.5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 spans="1:13" s="4" customFormat="1" ht="15.5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 spans="1:13" s="4" customFormat="1" ht="15.5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spans="1:13" s="4" customFormat="1" ht="15.5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 spans="1:13" s="4" customFormat="1" ht="15.5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spans="1:13" s="4" customFormat="1" ht="15.5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 spans="1:13" s="4" customFormat="1" ht="15.5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spans="1:13" s="4" customFormat="1" ht="15.5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 spans="1:13" s="4" customFormat="1" ht="15.5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 spans="1:13" s="4" customFormat="1" ht="15.5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 spans="1:13" s="4" customFormat="1" ht="15.5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spans="1:13" s="4" customFormat="1" ht="15.5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spans="1:13" s="4" customFormat="1" ht="15.5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spans="1:13" s="4" customFormat="1" ht="15.5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 spans="1:13" s="4" customFormat="1" ht="15.5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 spans="1:13" s="4" customFormat="1" ht="15.5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 spans="1:13" s="4" customFormat="1" ht="15.5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 spans="1:13" s="4" customFormat="1" ht="15.5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 spans="1:13" s="4" customFormat="1" ht="15.5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spans="1:13" s="4" customFormat="1" ht="15.5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 spans="1:13" s="4" customFormat="1" ht="15.5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 spans="1:13" s="4" customFormat="1" ht="15.5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 spans="1:13" s="4" customFormat="1" ht="15.5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 spans="1:13" s="4" customFormat="1" ht="15.5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spans="1:13" s="4" customFormat="1" ht="15.5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 spans="1:13" s="4" customFormat="1" ht="15.5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 spans="1:13" s="4" customFormat="1" ht="15.5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 spans="1:13" s="4" customFormat="1" ht="15.5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 spans="1:13" s="4" customFormat="1" ht="15.5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 spans="1:13" s="4" customFormat="1" ht="15.5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spans="1:13" s="4" customFormat="1" ht="15.5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spans="1:13" s="4" customFormat="1" ht="15.5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spans="1:13" s="4" customFormat="1" ht="15.5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 spans="1:13" s="4" customFormat="1" ht="15.5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 spans="1:13" s="4" customFormat="1" ht="15.5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spans="1:13" s="4" customFormat="1" ht="15.5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 spans="1:13" s="4" customFormat="1" ht="15.5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 spans="1:13" s="4" customFormat="1" ht="15.5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spans="1:13" s="4" customFormat="1" ht="15.5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 spans="1:13" s="4" customFormat="1" ht="15.5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 spans="1:13" s="4" customFormat="1" ht="15.5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 spans="1:13" s="4" customFormat="1" ht="15.5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spans="1:13" s="4" customFormat="1" ht="15.5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 spans="1:13" s="4" customFormat="1" ht="15.5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spans="1:13" s="4" customFormat="1" ht="15.5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 spans="1:13" s="4" customFormat="1" ht="15.5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spans="1:13" s="4" customFormat="1" ht="15.5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 spans="1:13" s="4" customFormat="1" ht="15.5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 spans="1:13" s="4" customFormat="1" ht="15.5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spans="1:13" s="4" customFormat="1" ht="15.5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spans="1:13" s="4" customFormat="1" ht="15.5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spans="1:13" s="4" customFormat="1" ht="15.5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spans="1:13" s="4" customFormat="1" ht="15.5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 spans="1:13" s="4" customFormat="1" ht="15.5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 spans="1:13" s="4" customFormat="1" ht="15.5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spans="1:13" s="4" customFormat="1" ht="15.5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 spans="1:13" s="4" customFormat="1" ht="15.5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 spans="1:13" s="4" customFormat="1" ht="15.5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 spans="1:13" s="4" customFormat="1" ht="15.5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 spans="1:13" s="4" customFormat="1" ht="15.5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spans="1:13" s="4" customFormat="1" ht="15.5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 spans="1:13" s="4" customFormat="1" ht="15.5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 spans="1:13" s="4" customFormat="1" ht="15.5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 spans="1:13" s="4" customFormat="1" ht="15.5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 spans="1:13" s="4" customFormat="1" ht="15.5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 spans="1:13" s="4" customFormat="1" ht="15.5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 spans="1:13" s="4" customFormat="1" ht="15.5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 spans="1:13" s="4" customFormat="1" ht="15.5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spans="1:13" s="4" customFormat="1" ht="15.5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spans="1:13" s="4" customFormat="1" ht="15.5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spans="1:13" s="4" customFormat="1" ht="15.5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 spans="1:13" s="4" customFormat="1" ht="15.5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spans="1:13" s="4" customFormat="1" ht="15.5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 spans="1:13" s="4" customFormat="1" ht="15.5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 spans="1:13" s="4" customFormat="1" ht="15.5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 spans="1:13" s="4" customFormat="1" ht="15.5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 spans="1:13" s="4" customFormat="1" ht="15.5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 spans="1:13" s="4" customFormat="1" ht="15.5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 spans="1:13" s="4" customFormat="1" ht="15.5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 spans="1:13" s="4" customFormat="1" ht="15.5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spans="1:13" s="4" customFormat="1" ht="15.5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 spans="1:13" s="4" customFormat="1" ht="15.5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 spans="1:13" s="4" customFormat="1" ht="15.5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spans="1:13" s="4" customFormat="1" ht="15.5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spans="1:13" s="4" customFormat="1" ht="15.5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spans="1:13" s="4" customFormat="1" ht="15.5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 spans="1:13" s="4" customFormat="1" ht="15.5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spans="1:13" s="4" customFormat="1" ht="15.5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 spans="1:13" s="4" customFormat="1" ht="15.5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 spans="1:13" s="4" customFormat="1" ht="15.5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 spans="1:13" s="4" customFormat="1" ht="15.5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 spans="1:13" s="4" customFormat="1" ht="15.5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 spans="1:13" s="4" customFormat="1" ht="15.5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spans="1:13" s="4" customFormat="1" ht="15.5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 spans="1:13" s="4" customFormat="1" ht="15.5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 spans="1:13" s="4" customFormat="1" ht="15.5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  <row r="387" spans="1:13" s="4" customFormat="1" ht="15.5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</row>
    <row r="388" spans="1:13" s="4" customFormat="1" ht="15.5" x14ac:dyDescent="0.3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</row>
    <row r="389" spans="1:13" s="4" customFormat="1" ht="15.5" x14ac:dyDescent="0.3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</row>
    <row r="390" spans="1:13" s="4" customFormat="1" ht="15.5" x14ac:dyDescent="0.3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</row>
    <row r="391" spans="1:13" s="4" customFormat="1" ht="15.5" x14ac:dyDescent="0.3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</row>
    <row r="392" spans="1:13" s="4" customFormat="1" ht="15.5" x14ac:dyDescent="0.3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</row>
    <row r="393" spans="1:13" s="4" customFormat="1" ht="15.5" x14ac:dyDescent="0.3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</row>
    <row r="394" spans="1:13" s="4" customFormat="1" ht="15.5" x14ac:dyDescent="0.3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</row>
    <row r="395" spans="1:13" s="4" customFormat="1" ht="15.5" x14ac:dyDescent="0.3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</row>
    <row r="396" spans="1:13" s="4" customFormat="1" ht="15.5" x14ac:dyDescent="0.3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</row>
    <row r="397" spans="1:13" s="4" customFormat="1" ht="15.5" x14ac:dyDescent="0.3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</row>
    <row r="398" spans="1:13" s="4" customFormat="1" ht="15.5" x14ac:dyDescent="0.3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</row>
    <row r="399" spans="1:13" s="4" customFormat="1" ht="15.5" x14ac:dyDescent="0.3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</row>
    <row r="400" spans="1:13" s="4" customFormat="1" ht="15.5" x14ac:dyDescent="0.3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</row>
    <row r="401" spans="1:13" s="4" customFormat="1" ht="15.5" x14ac:dyDescent="0.3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</row>
    <row r="402" spans="1:13" s="4" customFormat="1" ht="15.5" x14ac:dyDescent="0.3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</row>
    <row r="403" spans="1:13" s="4" customFormat="1" ht="15.5" x14ac:dyDescent="0.3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</row>
    <row r="404" spans="1:13" s="4" customFormat="1" ht="15.5" x14ac:dyDescent="0.3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</row>
    <row r="405" spans="1:13" s="4" customFormat="1" ht="15.5" x14ac:dyDescent="0.3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</row>
    <row r="406" spans="1:13" s="4" customFormat="1" ht="15.5" x14ac:dyDescent="0.3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</row>
    <row r="407" spans="1:13" s="4" customFormat="1" ht="15.5" x14ac:dyDescent="0.3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</row>
  </sheetData>
  <mergeCells count="42">
    <mergeCell ref="A33:B33"/>
    <mergeCell ref="A34:B34"/>
    <mergeCell ref="A35:B35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H15:I15"/>
    <mergeCell ref="A1:K3"/>
    <mergeCell ref="A7:D7"/>
    <mergeCell ref="E7:G7"/>
    <mergeCell ref="J7:K7"/>
    <mergeCell ref="H9:I9"/>
    <mergeCell ref="J9:K9"/>
    <mergeCell ref="A11:C11"/>
    <mergeCell ref="D11:G11"/>
    <mergeCell ref="J11:K11"/>
    <mergeCell ref="D13:E13"/>
    <mergeCell ref="H13:I13"/>
    <mergeCell ref="A17:E18"/>
    <mergeCell ref="G17:I17"/>
    <mergeCell ref="A19:B19"/>
    <mergeCell ref="A20:B20"/>
    <mergeCell ref="A21:B21"/>
    <mergeCell ref="A43:B43"/>
    <mergeCell ref="A45:B45"/>
    <mergeCell ref="A46:B46"/>
    <mergeCell ref="A36:B36"/>
    <mergeCell ref="A37:B37"/>
    <mergeCell ref="A38:B38"/>
    <mergeCell ref="A39:B39"/>
    <mergeCell ref="A40:B40"/>
    <mergeCell ref="A41:B41"/>
    <mergeCell ref="A42:B42"/>
    <mergeCell ref="A44:B44"/>
  </mergeCells>
  <dataValidations count="2">
    <dataValidation type="list" allowBlank="1" showInputMessage="1" showErrorMessage="1" sqref="E7" xr:uid="{91C772A5-089B-44CE-935E-9DD5F9DA8366}">
      <formula1>secteur</formula1>
    </dataValidation>
    <dataValidation type="list" allowBlank="1" showInputMessage="1" showErrorMessage="1" sqref="J7:K7" xr:uid="{2CF6FF7B-2887-42E8-B93A-4D70233E44B2}">
      <formula1>mois_bon2</formula1>
    </dataValidation>
  </dataValidations>
  <pageMargins left="0.7" right="0.7" top="0.75" bottom="0.75" header="0.3" footer="0.3"/>
  <pageSetup paperSize="9" scale="65" orientation="landscape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1A9E-25BB-49C8-B323-8F0737481226}">
  <sheetPr codeName="Feuil22">
    <tabColor rgb="FF7030A0"/>
  </sheetPr>
  <dimension ref="A1:M402"/>
  <sheetViews>
    <sheetView showGridLines="0" zoomScale="70" zoomScaleNormal="70" workbookViewId="0">
      <selection activeCell="H50" activeCellId="1" sqref="F54 H50"/>
    </sheetView>
  </sheetViews>
  <sheetFormatPr baseColWidth="10" defaultRowHeight="17.5" x14ac:dyDescent="0.35"/>
  <cols>
    <col min="1" max="1" width="10.90625" style="8"/>
    <col min="2" max="2" width="11.81640625" style="8" customWidth="1"/>
    <col min="3" max="3" width="14.1796875" style="8" customWidth="1"/>
    <col min="4" max="5" width="10.90625" style="8"/>
    <col min="6" max="6" width="3.54296875" style="8" customWidth="1"/>
    <col min="7" max="8" width="10.90625" style="8"/>
    <col min="9" max="9" width="14.453125" style="8" customWidth="1"/>
    <col min="10" max="10" width="10.90625" style="8"/>
    <col min="11" max="11" width="15.26953125" style="8" bestFit="1" customWidth="1"/>
    <col min="12" max="13" width="10.90625" style="8"/>
  </cols>
  <sheetData>
    <row r="1" spans="1:13" ht="7.5" customHeight="1" x14ac:dyDescent="0.35">
      <c r="A1" s="269" t="s">
        <v>50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</row>
    <row r="2" spans="1:13" ht="13.5" customHeight="1" x14ac:dyDescent="0.35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</row>
    <row r="3" spans="1:13" ht="15" hidden="1" customHeight="1" x14ac:dyDescent="0.35">
      <c r="A3" s="269"/>
      <c r="B3" s="269"/>
      <c r="C3" s="269"/>
      <c r="D3" s="269"/>
      <c r="E3" s="269"/>
      <c r="F3" s="269"/>
      <c r="G3" s="269"/>
      <c r="H3" s="269"/>
      <c r="I3" s="269"/>
      <c r="J3" s="269"/>
      <c r="K3" s="269"/>
    </row>
    <row r="4" spans="1:13" ht="5.25" customHeight="1" x14ac:dyDescent="0.35"/>
    <row r="5" spans="1:13" ht="13.5" customHeight="1" x14ac:dyDescent="0.35">
      <c r="A5" s="34" t="s">
        <v>52</v>
      </c>
    </row>
    <row r="6" spans="1:13" ht="5.25" customHeight="1" thickBot="1" x14ac:dyDescent="0.4">
      <c r="A6" s="34"/>
    </row>
    <row r="7" spans="1:13" s="23" customFormat="1" ht="16.5" thickTop="1" thickBot="1" x14ac:dyDescent="0.4">
      <c r="A7" s="270" t="s">
        <v>44</v>
      </c>
      <c r="B7" s="270"/>
      <c r="C7" s="270"/>
      <c r="D7" s="270"/>
      <c r="E7" s="271" t="s">
        <v>29</v>
      </c>
      <c r="F7" s="272"/>
      <c r="G7" s="273"/>
      <c r="I7" s="36" t="s">
        <v>46</v>
      </c>
      <c r="J7" s="274" t="s">
        <v>243</v>
      </c>
      <c r="K7" s="275"/>
      <c r="M7" s="28"/>
    </row>
    <row r="8" spans="1:13" ht="5.25" customHeight="1" thickTop="1" thickBot="1" x14ac:dyDescent="0.4"/>
    <row r="9" spans="1:13" ht="18.5" thickTop="1" thickBot="1" x14ac:dyDescent="0.4">
      <c r="H9" s="267" t="s">
        <v>53</v>
      </c>
      <c r="I9" s="268"/>
      <c r="J9" s="290">
        <v>46305</v>
      </c>
      <c r="K9" s="291"/>
    </row>
    <row r="10" spans="1:13" ht="18.5" thickTop="1" thickBot="1" x14ac:dyDescent="0.4">
      <c r="J10" s="45"/>
      <c r="K10" s="37"/>
    </row>
    <row r="11" spans="1:13" s="3" customFormat="1" ht="16.5" thickTop="1" thickBot="1" x14ac:dyDescent="0.4">
      <c r="A11" s="270" t="s">
        <v>45</v>
      </c>
      <c r="B11" s="270"/>
      <c r="C11" s="270"/>
      <c r="D11" s="271" t="s">
        <v>102</v>
      </c>
      <c r="E11" s="272"/>
      <c r="F11" s="272"/>
      <c r="G11" s="273"/>
      <c r="H11" s="23"/>
      <c r="I11" s="31" t="s">
        <v>47</v>
      </c>
      <c r="J11" s="271"/>
      <c r="K11" s="273"/>
      <c r="L11" s="23"/>
      <c r="M11" s="23"/>
    </row>
    <row r="12" spans="1:13" s="4" customFormat="1" ht="16.5" thickTop="1" thickBot="1" x14ac:dyDescent="0.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s="25" customFormat="1" ht="16.5" thickTop="1" thickBot="1" x14ac:dyDescent="0.4">
      <c r="A13" s="52" t="s">
        <v>76</v>
      </c>
      <c r="B13" s="46"/>
      <c r="C13" s="35">
        <v>2400000</v>
      </c>
      <c r="D13" s="267" t="s">
        <v>49</v>
      </c>
      <c r="E13" s="267"/>
      <c r="F13" s="179">
        <v>20</v>
      </c>
      <c r="G13" s="30" t="s">
        <v>48</v>
      </c>
      <c r="H13" s="278" t="s">
        <v>57</v>
      </c>
      <c r="I13" s="279"/>
      <c r="J13" s="187">
        <f>IF(C13&lt;1000000,F13*1.5%,F13%)</f>
        <v>0.2</v>
      </c>
      <c r="K13" s="24"/>
      <c r="L13" s="24"/>
      <c r="M13" s="24"/>
    </row>
    <row r="14" spans="1:13" s="4" customFormat="1" ht="16.5" thickTop="1" thickBot="1" x14ac:dyDescent="0.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s="3" customFormat="1" ht="16.5" thickTop="1" thickBot="1" x14ac:dyDescent="0.4">
      <c r="A15" s="23"/>
      <c r="B15" s="23"/>
      <c r="C15" s="23"/>
      <c r="D15" s="23"/>
      <c r="E15" s="23"/>
      <c r="F15" s="23"/>
      <c r="G15" s="23"/>
      <c r="H15" s="267" t="s">
        <v>26</v>
      </c>
      <c r="I15" s="268"/>
      <c r="J15" s="27">
        <f>C13*J13</f>
        <v>480000</v>
      </c>
      <c r="K15" s="23"/>
      <c r="L15" s="23"/>
      <c r="M15" s="23"/>
    </row>
    <row r="16" spans="1:13" s="4" customFormat="1" ht="16.5" thickTop="1" thickBot="1" x14ac:dyDescent="0.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s="4" customFormat="1" ht="18.75" customHeight="1" thickTop="1" thickBot="1" x14ac:dyDescent="0.4">
      <c r="A17" s="280" t="s">
        <v>51</v>
      </c>
      <c r="B17" s="280"/>
      <c r="C17" s="280"/>
      <c r="D17" s="280"/>
      <c r="E17" s="280"/>
      <c r="F17" s="15"/>
      <c r="G17" s="282" t="s">
        <v>73</v>
      </c>
      <c r="H17" s="282"/>
      <c r="I17" s="283"/>
      <c r="J17" s="51">
        <f>C13+J15</f>
        <v>2880000</v>
      </c>
      <c r="K17" s="15"/>
      <c r="L17" s="15"/>
      <c r="M17" s="15"/>
    </row>
    <row r="18" spans="1:13" s="4" customFormat="1" ht="13.5" customHeight="1" thickTop="1" thickBot="1" x14ac:dyDescent="0.4">
      <c r="A18" s="281"/>
      <c r="B18" s="281"/>
      <c r="C18" s="281"/>
      <c r="D18" s="281"/>
      <c r="E18" s="281"/>
      <c r="F18" s="15"/>
      <c r="G18" s="15"/>
      <c r="H18" s="15"/>
      <c r="I18" s="15"/>
      <c r="J18" s="15"/>
      <c r="K18" s="15"/>
      <c r="L18" s="15"/>
      <c r="M18" s="15"/>
    </row>
    <row r="19" spans="1:13" s="4" customFormat="1" ht="42.75" customHeight="1" thickTop="1" thickBot="1" x14ac:dyDescent="0.45">
      <c r="A19" s="284" t="s">
        <v>196</v>
      </c>
      <c r="B19" s="285"/>
      <c r="C19" s="38" t="s">
        <v>54</v>
      </c>
      <c r="D19" s="39" t="s">
        <v>55</v>
      </c>
      <c r="E19" s="40" t="s">
        <v>56</v>
      </c>
      <c r="F19" s="15"/>
      <c r="G19" s="26"/>
      <c r="H19" s="15"/>
      <c r="I19" s="15"/>
      <c r="J19" s="15"/>
      <c r="K19" s="15"/>
      <c r="L19" s="15"/>
      <c r="M19" s="15"/>
    </row>
    <row r="20" spans="1:13" s="4" customFormat="1" ht="16" thickBot="1" x14ac:dyDescent="0.4">
      <c r="A20" s="286">
        <v>45689</v>
      </c>
      <c r="B20" s="287"/>
      <c r="C20" s="41"/>
      <c r="D20" s="44"/>
      <c r="E20" s="43">
        <f t="shared" ref="E20:E40" si="0">C20-D20</f>
        <v>0</v>
      </c>
      <c r="F20" s="15"/>
      <c r="G20" s="15"/>
      <c r="H20" s="15"/>
      <c r="I20" s="15"/>
      <c r="J20" s="15"/>
      <c r="K20" s="15"/>
      <c r="L20" s="15"/>
      <c r="M20" s="15"/>
    </row>
    <row r="21" spans="1:13" s="4" customFormat="1" ht="16" thickBot="1" x14ac:dyDescent="0.4">
      <c r="A21" s="286">
        <v>45717</v>
      </c>
      <c r="B21" s="287"/>
      <c r="C21" s="41">
        <f t="shared" ref="C21:C40" si="1">J$17/F$13</f>
        <v>144000</v>
      </c>
      <c r="D21" s="44"/>
      <c r="E21" s="43">
        <f t="shared" si="0"/>
        <v>144000</v>
      </c>
      <c r="F21" s="15"/>
      <c r="G21" s="15"/>
      <c r="H21" s="15"/>
      <c r="I21" s="15"/>
      <c r="J21" s="15"/>
      <c r="K21" s="15"/>
      <c r="L21" s="15"/>
      <c r="M21" s="15"/>
    </row>
    <row r="22" spans="1:13" s="4" customFormat="1" ht="16" thickBot="1" x14ac:dyDescent="0.4">
      <c r="A22" s="286">
        <v>45748</v>
      </c>
      <c r="B22" s="287"/>
      <c r="C22" s="41">
        <f t="shared" ref="C22:C26" si="2">J$17/F$13</f>
        <v>144000</v>
      </c>
      <c r="D22" s="44"/>
      <c r="E22" s="43">
        <f t="shared" ref="E22:E26" si="3">C22-D22</f>
        <v>144000</v>
      </c>
      <c r="F22" s="15"/>
      <c r="G22" s="15"/>
      <c r="H22" s="15"/>
      <c r="I22" s="15"/>
      <c r="J22" s="15"/>
      <c r="K22" s="15"/>
      <c r="L22" s="15"/>
      <c r="M22" s="15"/>
    </row>
    <row r="23" spans="1:13" s="4" customFormat="1" ht="16" thickBot="1" x14ac:dyDescent="0.4">
      <c r="A23" s="286">
        <v>45778</v>
      </c>
      <c r="B23" s="287"/>
      <c r="C23" s="41">
        <f t="shared" si="2"/>
        <v>144000</v>
      </c>
      <c r="D23" s="44"/>
      <c r="E23" s="43">
        <f t="shared" si="3"/>
        <v>144000</v>
      </c>
      <c r="F23" s="15"/>
      <c r="G23" s="15"/>
      <c r="H23" s="15"/>
      <c r="I23" s="15"/>
      <c r="J23" s="15"/>
      <c r="K23" s="15"/>
      <c r="L23" s="15"/>
      <c r="M23" s="15"/>
    </row>
    <row r="24" spans="1:13" s="4" customFormat="1" ht="16" thickBot="1" x14ac:dyDescent="0.4">
      <c r="A24" s="286">
        <v>45809</v>
      </c>
      <c r="B24" s="287"/>
      <c r="C24" s="41">
        <f t="shared" si="2"/>
        <v>144000</v>
      </c>
      <c r="D24" s="44"/>
      <c r="E24" s="43">
        <f t="shared" si="3"/>
        <v>144000</v>
      </c>
      <c r="F24" s="15"/>
      <c r="G24" s="15"/>
      <c r="H24" s="15"/>
      <c r="I24" s="15"/>
      <c r="J24" s="15"/>
      <c r="K24" s="15"/>
      <c r="L24" s="15"/>
      <c r="M24" s="15"/>
    </row>
    <row r="25" spans="1:13" s="4" customFormat="1" ht="16" thickBot="1" x14ac:dyDescent="0.4">
      <c r="A25" s="286">
        <v>45839</v>
      </c>
      <c r="B25" s="287"/>
      <c r="C25" s="41">
        <f t="shared" si="2"/>
        <v>144000</v>
      </c>
      <c r="D25" s="44"/>
      <c r="E25" s="43">
        <f t="shared" si="3"/>
        <v>144000</v>
      </c>
      <c r="F25" s="15"/>
      <c r="G25" s="15"/>
      <c r="H25" s="15"/>
      <c r="I25" s="15"/>
      <c r="J25" s="15"/>
      <c r="K25" s="15"/>
      <c r="L25" s="15"/>
      <c r="M25" s="15"/>
    </row>
    <row r="26" spans="1:13" s="4" customFormat="1" ht="16" thickBot="1" x14ac:dyDescent="0.4">
      <c r="A26" s="286">
        <v>45870</v>
      </c>
      <c r="B26" s="287"/>
      <c r="C26" s="41">
        <f t="shared" si="2"/>
        <v>144000</v>
      </c>
      <c r="D26" s="44"/>
      <c r="E26" s="43">
        <f t="shared" si="3"/>
        <v>144000</v>
      </c>
      <c r="F26" s="15"/>
      <c r="G26" s="15"/>
      <c r="H26" s="15"/>
      <c r="I26" s="15"/>
      <c r="J26" s="15"/>
      <c r="K26" s="15"/>
      <c r="L26" s="15"/>
      <c r="M26" s="15"/>
    </row>
    <row r="27" spans="1:13" s="4" customFormat="1" ht="16" thickBot="1" x14ac:dyDescent="0.4">
      <c r="A27" s="286">
        <v>45901</v>
      </c>
      <c r="B27" s="287"/>
      <c r="C27" s="41">
        <f t="shared" si="1"/>
        <v>144000</v>
      </c>
      <c r="D27" s="44"/>
      <c r="E27" s="43">
        <f t="shared" si="0"/>
        <v>144000</v>
      </c>
      <c r="F27" s="15"/>
      <c r="G27" s="15"/>
      <c r="H27" s="15"/>
      <c r="I27" s="15"/>
      <c r="J27" s="15"/>
      <c r="K27" s="15"/>
      <c r="L27" s="15"/>
      <c r="M27" s="15"/>
    </row>
    <row r="28" spans="1:13" s="4" customFormat="1" ht="16" thickBot="1" x14ac:dyDescent="0.4">
      <c r="A28" s="286">
        <v>45931</v>
      </c>
      <c r="B28" s="287"/>
      <c r="C28" s="41">
        <f t="shared" si="1"/>
        <v>144000</v>
      </c>
      <c r="D28" s="44"/>
      <c r="E28" s="43">
        <f t="shared" si="0"/>
        <v>144000</v>
      </c>
      <c r="F28" s="15"/>
      <c r="G28" s="15"/>
      <c r="H28" s="15"/>
      <c r="I28" s="15"/>
      <c r="J28" s="15"/>
      <c r="K28" s="15"/>
      <c r="L28" s="15"/>
      <c r="M28" s="15"/>
    </row>
    <row r="29" spans="1:13" s="4" customFormat="1" ht="16" thickBot="1" x14ac:dyDescent="0.4">
      <c r="A29" s="286">
        <v>45962</v>
      </c>
      <c r="B29" s="287"/>
      <c r="C29" s="41">
        <f t="shared" si="1"/>
        <v>144000</v>
      </c>
      <c r="D29" s="44"/>
      <c r="E29" s="43">
        <f t="shared" si="0"/>
        <v>144000</v>
      </c>
      <c r="F29" s="15"/>
      <c r="G29" s="15"/>
      <c r="H29" s="15"/>
      <c r="I29" s="15"/>
      <c r="J29" s="15"/>
      <c r="K29" s="15"/>
      <c r="L29" s="15"/>
      <c r="M29" s="15"/>
    </row>
    <row r="30" spans="1:13" s="4" customFormat="1" ht="16" thickBot="1" x14ac:dyDescent="0.4">
      <c r="A30" s="286">
        <v>45992</v>
      </c>
      <c r="B30" s="287"/>
      <c r="C30" s="41">
        <f t="shared" si="1"/>
        <v>144000</v>
      </c>
      <c r="D30" s="44"/>
      <c r="E30" s="43">
        <f t="shared" si="0"/>
        <v>144000</v>
      </c>
      <c r="F30" s="15"/>
      <c r="G30" s="15"/>
      <c r="H30" s="15"/>
      <c r="I30" s="15"/>
      <c r="J30" s="15"/>
      <c r="K30" s="15"/>
      <c r="L30" s="15"/>
      <c r="M30" s="15"/>
    </row>
    <row r="31" spans="1:13" s="4" customFormat="1" ht="16" thickBot="1" x14ac:dyDescent="0.4">
      <c r="A31" s="286">
        <v>46023</v>
      </c>
      <c r="B31" s="287"/>
      <c r="C31" s="41">
        <f t="shared" si="1"/>
        <v>144000</v>
      </c>
      <c r="D31" s="44"/>
      <c r="E31" s="43">
        <f t="shared" si="0"/>
        <v>144000</v>
      </c>
      <c r="F31" s="15"/>
      <c r="G31" s="15"/>
      <c r="H31" s="15"/>
      <c r="I31" s="15"/>
      <c r="J31" s="15"/>
      <c r="K31" s="15"/>
      <c r="L31" s="15"/>
      <c r="M31" s="15"/>
    </row>
    <row r="32" spans="1:13" s="4" customFormat="1" ht="16" thickBot="1" x14ac:dyDescent="0.4">
      <c r="A32" s="286">
        <v>46054</v>
      </c>
      <c r="B32" s="287"/>
      <c r="C32" s="41">
        <f t="shared" si="1"/>
        <v>144000</v>
      </c>
      <c r="D32" s="44"/>
      <c r="E32" s="43">
        <f t="shared" si="0"/>
        <v>144000</v>
      </c>
      <c r="F32" s="15"/>
      <c r="G32" s="15"/>
      <c r="H32" s="15"/>
      <c r="I32" s="15"/>
      <c r="J32" s="15"/>
      <c r="K32" s="15"/>
      <c r="L32" s="15"/>
      <c r="M32" s="15"/>
    </row>
    <row r="33" spans="1:13" s="4" customFormat="1" ht="16" thickBot="1" x14ac:dyDescent="0.4">
      <c r="A33" s="286">
        <v>46082</v>
      </c>
      <c r="B33" s="287"/>
      <c r="C33" s="41">
        <f t="shared" ref="C33:C37" si="4">J$17/F$13</f>
        <v>144000</v>
      </c>
      <c r="D33" s="44"/>
      <c r="E33" s="43">
        <f t="shared" ref="E33:E37" si="5">C33-D33</f>
        <v>144000</v>
      </c>
      <c r="F33" s="15"/>
      <c r="G33" s="15"/>
      <c r="H33" s="15"/>
      <c r="I33" s="15"/>
      <c r="J33" s="15"/>
      <c r="K33" s="15"/>
      <c r="L33" s="15"/>
      <c r="M33" s="15"/>
    </row>
    <row r="34" spans="1:13" s="4" customFormat="1" ht="16" thickBot="1" x14ac:dyDescent="0.4">
      <c r="A34" s="286">
        <v>46113</v>
      </c>
      <c r="B34" s="287"/>
      <c r="C34" s="41">
        <f t="shared" si="4"/>
        <v>144000</v>
      </c>
      <c r="D34" s="44"/>
      <c r="E34" s="43">
        <f t="shared" si="5"/>
        <v>144000</v>
      </c>
      <c r="F34" s="15"/>
      <c r="G34" s="15"/>
      <c r="H34" s="15"/>
      <c r="I34" s="15"/>
      <c r="J34" s="15"/>
      <c r="K34" s="15"/>
      <c r="L34" s="15"/>
      <c r="M34" s="15"/>
    </row>
    <row r="35" spans="1:13" s="4" customFormat="1" ht="16" thickBot="1" x14ac:dyDescent="0.4">
      <c r="A35" s="286">
        <v>46143</v>
      </c>
      <c r="B35" s="287"/>
      <c r="C35" s="41">
        <f t="shared" si="4"/>
        <v>144000</v>
      </c>
      <c r="D35" s="44"/>
      <c r="E35" s="43">
        <f t="shared" si="5"/>
        <v>144000</v>
      </c>
      <c r="F35" s="15"/>
      <c r="G35" s="15"/>
      <c r="H35" s="15"/>
      <c r="I35" s="15"/>
      <c r="J35" s="15"/>
      <c r="K35" s="15"/>
      <c r="L35" s="15"/>
      <c r="M35" s="15"/>
    </row>
    <row r="36" spans="1:13" s="4" customFormat="1" ht="16" thickBot="1" x14ac:dyDescent="0.4">
      <c r="A36" s="286">
        <v>46174</v>
      </c>
      <c r="B36" s="287"/>
      <c r="C36" s="41">
        <f t="shared" si="4"/>
        <v>144000</v>
      </c>
      <c r="D36" s="44"/>
      <c r="E36" s="43">
        <f t="shared" si="5"/>
        <v>144000</v>
      </c>
      <c r="F36" s="15"/>
      <c r="G36" s="15"/>
      <c r="H36" s="15"/>
      <c r="I36" s="15"/>
      <c r="J36" s="15"/>
      <c r="K36" s="15"/>
      <c r="L36" s="15"/>
      <c r="M36" s="15"/>
    </row>
    <row r="37" spans="1:13" s="4" customFormat="1" ht="16" thickBot="1" x14ac:dyDescent="0.4">
      <c r="A37" s="286">
        <v>46204</v>
      </c>
      <c r="B37" s="287"/>
      <c r="C37" s="41">
        <f t="shared" si="4"/>
        <v>144000</v>
      </c>
      <c r="D37" s="44"/>
      <c r="E37" s="43">
        <f t="shared" si="5"/>
        <v>144000</v>
      </c>
      <c r="F37" s="15"/>
      <c r="G37" s="15"/>
      <c r="H37" s="15"/>
      <c r="I37" s="15"/>
      <c r="J37" s="15"/>
      <c r="K37" s="15"/>
      <c r="L37" s="15"/>
      <c r="M37" s="15"/>
    </row>
    <row r="38" spans="1:13" s="4" customFormat="1" ht="16" thickBot="1" x14ac:dyDescent="0.4">
      <c r="A38" s="286">
        <v>46235</v>
      </c>
      <c r="B38" s="287"/>
      <c r="C38" s="41">
        <f t="shared" si="1"/>
        <v>144000</v>
      </c>
      <c r="D38" s="44"/>
      <c r="E38" s="43">
        <f t="shared" si="0"/>
        <v>144000</v>
      </c>
      <c r="F38" s="15"/>
      <c r="G38" s="15"/>
      <c r="H38" s="15"/>
      <c r="I38" s="15"/>
      <c r="J38" s="15"/>
      <c r="K38" s="15"/>
      <c r="L38" s="15"/>
      <c r="M38" s="15"/>
    </row>
    <row r="39" spans="1:13" s="4" customFormat="1" ht="16" thickBot="1" x14ac:dyDescent="0.4">
      <c r="A39" s="286">
        <v>46266</v>
      </c>
      <c r="B39" s="287"/>
      <c r="C39" s="41">
        <f t="shared" si="1"/>
        <v>144000</v>
      </c>
      <c r="D39" s="44"/>
      <c r="E39" s="43">
        <f t="shared" si="0"/>
        <v>144000</v>
      </c>
      <c r="F39" s="15"/>
      <c r="G39" s="15"/>
      <c r="H39" s="15"/>
      <c r="I39" s="15"/>
      <c r="J39" s="15"/>
      <c r="K39" s="15"/>
      <c r="L39" s="15"/>
      <c r="M39" s="15"/>
    </row>
    <row r="40" spans="1:13" s="4" customFormat="1" ht="16" thickBot="1" x14ac:dyDescent="0.4">
      <c r="A40" s="286">
        <v>46296</v>
      </c>
      <c r="B40" s="287"/>
      <c r="C40" s="41">
        <f t="shared" si="1"/>
        <v>144000</v>
      </c>
      <c r="D40" s="44"/>
      <c r="E40" s="43">
        <f t="shared" si="0"/>
        <v>144000</v>
      </c>
      <c r="F40" s="15"/>
      <c r="G40" s="15"/>
      <c r="H40" s="15"/>
      <c r="I40" s="15"/>
      <c r="J40" s="15"/>
      <c r="K40" s="15"/>
      <c r="L40" s="15"/>
      <c r="M40" s="15"/>
    </row>
    <row r="41" spans="1:13" s="3" customFormat="1" ht="20.25" customHeight="1" thickBot="1" x14ac:dyDescent="0.4">
      <c r="A41" s="288" t="s">
        <v>43</v>
      </c>
      <c r="B41" s="289"/>
      <c r="C41" s="29">
        <f>SUM(C20:C40)</f>
        <v>2880000</v>
      </c>
      <c r="D41" s="29">
        <f>SUM(D20:D40)</f>
        <v>0</v>
      </c>
      <c r="E41" s="29">
        <f>SUM(E20:E40)</f>
        <v>2880000</v>
      </c>
      <c r="F41" s="23"/>
      <c r="G41" s="23"/>
      <c r="H41" s="23"/>
      <c r="I41" s="23"/>
      <c r="J41" s="23"/>
      <c r="K41" s="23"/>
      <c r="L41" s="23"/>
      <c r="M41" s="23"/>
    </row>
    <row r="42" spans="1:13" s="4" customFormat="1" ht="16" thickTop="1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 s="4" customFormat="1" ht="15.5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s="4" customFormat="1" ht="15.5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s="4" customFormat="1" ht="15.5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s="4" customFormat="1" ht="15.5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s="4" customFormat="1" ht="15.5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s="4" customFormat="1" ht="15.5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s="4" customFormat="1" ht="15.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s="4" customFormat="1" ht="15.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s="4" customFormat="1" ht="15.5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s="4" customFormat="1" ht="15.5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s="4" customFormat="1" ht="15.5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s="4" customFormat="1" ht="15.5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s="4" customFormat="1" ht="15.5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 s="4" customFormat="1" ht="15.5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s="4" customFormat="1" ht="15.5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 s="4" customFormat="1" ht="15.5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s="4" customFormat="1" ht="15.5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s="4" customFormat="1" ht="15.5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s="4" customFormat="1" ht="15.5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 s="4" customFormat="1" ht="15.5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s="4" customFormat="1" ht="15.5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 s="4" customFormat="1" ht="15.5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s="4" customFormat="1" ht="15.5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s="4" customFormat="1" ht="15.5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s="4" customFormat="1" ht="15.5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s="4" customFormat="1" ht="15.5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s="4" customFormat="1" ht="15.5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s="4" customFormat="1" ht="15.5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s="4" customFormat="1" ht="15.5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s="4" customFormat="1" ht="15.5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s="4" customFormat="1" ht="15.5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s="4" customFormat="1" ht="15.5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 s="4" customFormat="1" ht="15.5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s="4" customFormat="1" ht="15.5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s="4" customFormat="1" ht="15.5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 s="4" customFormat="1" ht="15.5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s="4" customFormat="1" ht="15.5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s="4" customFormat="1" ht="15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s="4" customFormat="1" ht="15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s="4" customFormat="1" ht="15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 s="4" customFormat="1" ht="15.5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s="4" customFormat="1" ht="15.5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1:13" s="4" customFormat="1" ht="15.5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1:13" s="4" customFormat="1" ht="15.5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 s="4" customFormat="1" ht="15.5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 s="4" customFormat="1" ht="15.5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s="4" customFormat="1" ht="15.5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 s="4" customFormat="1" ht="15.5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 s="4" customFormat="1" ht="15.5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 s="4" customFormat="1" ht="15.5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 s="4" customFormat="1" ht="15.5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1:13" s="4" customFormat="1" ht="15.5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s="4" customFormat="1" ht="15.5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 s="4" customFormat="1" ht="15.5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s="4" customFormat="1" ht="15.5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s="4" customFormat="1" ht="15.5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1:13" s="4" customFormat="1" ht="15.5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 s="4" customFormat="1" ht="15.5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s="4" customFormat="1" ht="15.5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1:13" s="4" customFormat="1" ht="15.5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s="4" customFormat="1" ht="15.5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s="4" customFormat="1" ht="15.5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1:13" s="4" customFormat="1" ht="15.5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1:13" s="4" customFormat="1" ht="15.5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1:13" s="4" customFormat="1" ht="15.5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 s="4" customFormat="1" ht="15.5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1:13" s="4" customFormat="1" ht="15.5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s="4" customFormat="1" ht="15.5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1:13" s="4" customFormat="1" ht="15.5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 s="4" customFormat="1" ht="15.5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1:13" s="4" customFormat="1" ht="15.5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 s="4" customFormat="1" ht="15.5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 s="4" customFormat="1" ht="15.5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 s="4" customFormat="1" ht="15.5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 s="4" customFormat="1" ht="15.5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 s="4" customFormat="1" ht="15.5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 s="4" customFormat="1" ht="15.5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 s="4" customFormat="1" ht="15.5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 s="4" customFormat="1" ht="15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1:13" s="4" customFormat="1" ht="15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1:13" s="4" customFormat="1" ht="15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1:13" s="4" customFormat="1" ht="15.5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1:13" s="4" customFormat="1" ht="15.5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1:13" s="4" customFormat="1" ht="15.5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 s="4" customFormat="1" ht="15.5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1:13" s="4" customFormat="1" ht="15.5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s="4" customFormat="1" ht="15.5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3" s="4" customFormat="1" ht="15.5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1:13" s="4" customFormat="1" ht="15.5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 s="4" customFormat="1" ht="15.5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 s="4" customFormat="1" ht="15.5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 s="4" customFormat="1" ht="15.5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 s="4" customFormat="1" ht="15.5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 s="4" customFormat="1" ht="15.5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1:13" s="4" customFormat="1" ht="15.5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1:13" s="4" customFormat="1" ht="15.5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1:13" s="4" customFormat="1" ht="15.5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 s="4" customFormat="1" ht="15.5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1:13" s="4" customFormat="1" ht="15.5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 s="4" customFormat="1" ht="15.5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 s="4" customFormat="1" ht="15.5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1:13" s="4" customFormat="1" ht="15.5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1:13" s="4" customFormat="1" ht="15.5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 s="4" customFormat="1" ht="15.5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1:13" s="4" customFormat="1" ht="15.5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 s="4" customFormat="1" ht="15.5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1:13" s="4" customFormat="1" ht="15.5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1:13" s="4" customFormat="1" ht="15.5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 s="4" customFormat="1" ht="15.5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 s="4" customFormat="1" ht="15.5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s="4" customFormat="1" ht="15.5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 s="4" customFormat="1" ht="15.5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1:13" s="4" customFormat="1" ht="15.5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 s="4" customFormat="1" ht="15.5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spans="1:13" s="4" customFormat="1" ht="15.5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spans="1:13" s="4" customFormat="1" ht="15.5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spans="1:13" s="4" customFormat="1" ht="15.5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1:13" s="4" customFormat="1" ht="15.5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1:13" s="4" customFormat="1" ht="15.5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1:13" s="4" customFormat="1" ht="15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1:13" s="4" customFormat="1" ht="15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1:13" s="4" customFormat="1" ht="15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spans="1:13" s="4" customFormat="1" ht="15.5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1:13" s="4" customFormat="1" ht="15.5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1:13" s="4" customFormat="1" ht="15.5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spans="1:13" s="4" customFormat="1" ht="15.5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spans="1:13" s="4" customFormat="1" ht="15.5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spans="1:13" s="4" customFormat="1" ht="15.5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spans="1:13" s="4" customFormat="1" ht="15.5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spans="1:13" s="4" customFormat="1" ht="15.5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spans="1:13" s="4" customFormat="1" ht="15.5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spans="1:13" s="4" customFormat="1" ht="15.5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spans="1:13" s="4" customFormat="1" ht="15.5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spans="1:13" s="4" customFormat="1" ht="15.5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spans="1:13" s="4" customFormat="1" ht="15.5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1:13" s="4" customFormat="1" ht="15.5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spans="1:13" s="4" customFormat="1" ht="15.5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1:13" s="4" customFormat="1" ht="15.5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spans="1:13" s="4" customFormat="1" ht="15.5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1:13" s="4" customFormat="1" ht="15.5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spans="1:13" s="4" customFormat="1" ht="15.5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1:13" s="4" customFormat="1" ht="15.5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spans="1:13" s="4" customFormat="1" ht="15.5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spans="1:13" s="4" customFormat="1" ht="15.5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spans="1:13" s="4" customFormat="1" ht="15.5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1:13" s="4" customFormat="1" ht="15.5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spans="1:13" s="4" customFormat="1" ht="15.5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1:13" s="4" customFormat="1" ht="15.5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spans="1:13" s="4" customFormat="1" ht="15.5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spans="1:13" s="4" customFormat="1" ht="15.5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spans="1:13" s="4" customFormat="1" ht="15.5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spans="1:13" s="4" customFormat="1" ht="15.5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spans="1:13" s="4" customFormat="1" ht="15.5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1:13" s="4" customFormat="1" ht="15.5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spans="1:13" s="4" customFormat="1" ht="15.5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spans="1:13" s="4" customFormat="1" ht="15.5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1:13" s="4" customFormat="1" ht="15.5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1:13" s="4" customFormat="1" ht="15.5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1:13" s="4" customFormat="1" ht="15.5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spans="1:13" s="4" customFormat="1" ht="15.5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spans="1:13" s="4" customFormat="1" ht="15.5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  <row r="204" spans="1:13" s="4" customFormat="1" ht="15.5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</row>
    <row r="205" spans="1:13" s="4" customFormat="1" ht="15.5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</row>
    <row r="206" spans="1:13" s="4" customFormat="1" ht="15.5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1:13" s="4" customFormat="1" ht="15.5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spans="1:13" s="4" customFormat="1" ht="15.5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1:13" s="4" customFormat="1" ht="15.5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</row>
    <row r="210" spans="1:13" s="4" customFormat="1" ht="15.5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</row>
    <row r="211" spans="1:13" s="4" customFormat="1" ht="15.5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</row>
    <row r="212" spans="1:13" s="4" customFormat="1" ht="15.5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spans="1:13" s="4" customFormat="1" ht="15.5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</row>
    <row r="214" spans="1:13" s="4" customFormat="1" ht="15.5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spans="1:13" s="4" customFormat="1" ht="15.5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spans="1:13" s="4" customFormat="1" ht="15.5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spans="1:13" s="4" customFormat="1" ht="15.5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spans="1:13" s="4" customFormat="1" ht="15.5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spans="1:13" s="4" customFormat="1" ht="15.5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spans="1:13" s="4" customFormat="1" ht="15.5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spans="1:13" s="4" customFormat="1" ht="15.5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spans="1:13" s="4" customFormat="1" ht="15.5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spans="1:13" s="4" customFormat="1" ht="15.5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spans="1:13" s="4" customFormat="1" ht="15.5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5" spans="1:13" s="4" customFormat="1" ht="15.5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spans="1:13" s="4" customFormat="1" ht="15.5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27" spans="1:13" s="4" customFormat="1" ht="15.5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spans="1:13" s="4" customFormat="1" ht="15.5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spans="1:13" s="4" customFormat="1" ht="15.5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spans="1:13" s="4" customFormat="1" ht="15.5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</row>
    <row r="231" spans="1:13" s="4" customFormat="1" ht="15.5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</row>
    <row r="232" spans="1:13" s="4" customFormat="1" ht="15.5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</row>
    <row r="233" spans="1:13" s="4" customFormat="1" ht="15.5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</row>
    <row r="234" spans="1:13" s="4" customFormat="1" ht="15.5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spans="1:13" s="4" customFormat="1" ht="15.5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</row>
    <row r="236" spans="1:13" s="4" customFormat="1" ht="15.5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spans="1:13" s="4" customFormat="1" ht="15.5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</row>
    <row r="238" spans="1:13" s="4" customFormat="1" ht="15.5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spans="1:13" s="4" customFormat="1" ht="15.5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</row>
    <row r="240" spans="1:13" s="4" customFormat="1" ht="15.5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spans="1:13" s="4" customFormat="1" ht="15.5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</row>
    <row r="242" spans="1:13" s="4" customFormat="1" ht="15.5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3" spans="1:13" s="4" customFormat="1" ht="15.5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</row>
    <row r="244" spans="1:13" s="4" customFormat="1" ht="15.5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1:13" s="4" customFormat="1" ht="15.5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spans="1:13" s="4" customFormat="1" ht="15.5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spans="1:13" s="4" customFormat="1" ht="15.5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spans="1:13" s="4" customFormat="1" ht="15.5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spans="1:13" s="4" customFormat="1" ht="15.5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spans="1:13" s="4" customFormat="1" ht="15.5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</row>
    <row r="251" spans="1:13" s="4" customFormat="1" ht="15.5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spans="1:13" s="4" customFormat="1" ht="15.5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spans="1:13" s="4" customFormat="1" ht="15.5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</row>
    <row r="254" spans="1:13" s="4" customFormat="1" ht="15.5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spans="1:13" s="4" customFormat="1" ht="15.5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</row>
    <row r="256" spans="1:13" s="4" customFormat="1" ht="15.5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</row>
    <row r="257" spans="1:13" s="4" customFormat="1" ht="15.5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spans="1:13" s="4" customFormat="1" ht="15.5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</row>
    <row r="259" spans="1:13" s="4" customFormat="1" ht="15.5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spans="1:13" s="4" customFormat="1" ht="15.5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spans="1:13" s="4" customFormat="1" ht="15.5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spans="1:13" s="4" customFormat="1" ht="15.5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spans="1:13" s="4" customFormat="1" ht="15.5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spans="1:13" s="4" customFormat="1" ht="15.5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spans="1:13" s="4" customFormat="1" ht="15.5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spans="1:13" s="4" customFormat="1" ht="15.5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spans="1:13" s="4" customFormat="1" ht="15.5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</row>
    <row r="268" spans="1:13" s="4" customFormat="1" ht="15.5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spans="1:13" s="4" customFormat="1" ht="15.5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</row>
    <row r="270" spans="1:13" s="4" customFormat="1" ht="15.5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</row>
    <row r="271" spans="1:13" s="4" customFormat="1" ht="15.5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</row>
    <row r="272" spans="1:13" s="4" customFormat="1" ht="15.5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spans="1:13" s="4" customFormat="1" ht="15.5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spans="1:13" s="4" customFormat="1" ht="15.5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</row>
    <row r="275" spans="1:13" s="4" customFormat="1" ht="15.5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</row>
    <row r="276" spans="1:13" s="4" customFormat="1" ht="15.5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spans="1:13" s="4" customFormat="1" ht="15.5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 spans="1:13" s="4" customFormat="1" ht="15.5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 spans="1:13" s="4" customFormat="1" ht="15.5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 spans="1:13" s="4" customFormat="1" ht="15.5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spans="1:13" s="4" customFormat="1" ht="15.5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 spans="1:13" s="4" customFormat="1" ht="15.5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spans="1:13" s="4" customFormat="1" ht="15.5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spans="1:13" s="4" customFormat="1" ht="15.5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spans="1:13" s="4" customFormat="1" ht="15.5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spans="1:13" s="4" customFormat="1" ht="15.5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 spans="1:13" s="4" customFormat="1" ht="15.5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 spans="1:13" s="4" customFormat="1" ht="15.5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 spans="1:13" s="4" customFormat="1" ht="15.5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spans="1:13" s="4" customFormat="1" ht="15.5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 spans="1:13" s="4" customFormat="1" ht="15.5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 spans="1:13" s="4" customFormat="1" ht="15.5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 spans="1:13" s="4" customFormat="1" ht="15.5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spans="1:13" s="4" customFormat="1" ht="15.5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 spans="1:13" s="4" customFormat="1" ht="15.5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spans="1:13" s="4" customFormat="1" ht="15.5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 spans="1:13" s="4" customFormat="1" ht="15.5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spans="1:13" s="4" customFormat="1" ht="15.5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 spans="1:13" s="4" customFormat="1" ht="15.5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 spans="1:13" s="4" customFormat="1" ht="15.5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 spans="1:13" s="4" customFormat="1" ht="15.5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spans="1:13" s="4" customFormat="1" ht="15.5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spans="1:13" s="4" customFormat="1" ht="15.5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spans="1:13" s="4" customFormat="1" ht="15.5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 spans="1:13" s="4" customFormat="1" ht="15.5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 spans="1:13" s="4" customFormat="1" ht="15.5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 spans="1:13" s="4" customFormat="1" ht="15.5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 spans="1:13" s="4" customFormat="1" ht="15.5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 spans="1:13" s="4" customFormat="1" ht="15.5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spans="1:13" s="4" customFormat="1" ht="15.5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 spans="1:13" s="4" customFormat="1" ht="15.5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 spans="1:13" s="4" customFormat="1" ht="15.5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 spans="1:13" s="4" customFormat="1" ht="15.5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 spans="1:13" s="4" customFormat="1" ht="15.5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spans="1:13" s="4" customFormat="1" ht="15.5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 spans="1:13" s="4" customFormat="1" ht="15.5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 spans="1:13" s="4" customFormat="1" ht="15.5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 spans="1:13" s="4" customFormat="1" ht="15.5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 spans="1:13" s="4" customFormat="1" ht="15.5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 spans="1:13" s="4" customFormat="1" ht="15.5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spans="1:13" s="4" customFormat="1" ht="15.5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spans="1:13" s="4" customFormat="1" ht="15.5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spans="1:13" s="4" customFormat="1" ht="15.5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 spans="1:13" s="4" customFormat="1" ht="15.5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 spans="1:13" s="4" customFormat="1" ht="15.5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spans="1:13" s="4" customFormat="1" ht="15.5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 spans="1:13" s="4" customFormat="1" ht="15.5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 spans="1:13" s="4" customFormat="1" ht="15.5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spans="1:13" s="4" customFormat="1" ht="15.5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 spans="1:13" s="4" customFormat="1" ht="15.5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 spans="1:13" s="4" customFormat="1" ht="15.5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 spans="1:13" s="4" customFormat="1" ht="15.5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spans="1:13" s="4" customFormat="1" ht="15.5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 spans="1:13" s="4" customFormat="1" ht="15.5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spans="1:13" s="4" customFormat="1" ht="15.5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 spans="1:13" s="4" customFormat="1" ht="15.5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spans="1:13" s="4" customFormat="1" ht="15.5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 spans="1:13" s="4" customFormat="1" ht="15.5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 spans="1:13" s="4" customFormat="1" ht="15.5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spans="1:13" s="4" customFormat="1" ht="15.5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spans="1:13" s="4" customFormat="1" ht="15.5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spans="1:13" s="4" customFormat="1" ht="15.5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spans="1:13" s="4" customFormat="1" ht="15.5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 spans="1:13" s="4" customFormat="1" ht="15.5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 spans="1:13" s="4" customFormat="1" ht="15.5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spans="1:13" s="4" customFormat="1" ht="15.5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 spans="1:13" s="4" customFormat="1" ht="15.5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 spans="1:13" s="4" customFormat="1" ht="15.5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 spans="1:13" s="4" customFormat="1" ht="15.5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 spans="1:13" s="4" customFormat="1" ht="15.5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spans="1:13" s="4" customFormat="1" ht="15.5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 spans="1:13" s="4" customFormat="1" ht="15.5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 spans="1:13" s="4" customFormat="1" ht="15.5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 spans="1:13" s="4" customFormat="1" ht="15.5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 spans="1:13" s="4" customFormat="1" ht="15.5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 spans="1:13" s="4" customFormat="1" ht="15.5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 spans="1:13" s="4" customFormat="1" ht="15.5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 spans="1:13" s="4" customFormat="1" ht="15.5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spans="1:13" s="4" customFormat="1" ht="15.5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spans="1:13" s="4" customFormat="1" ht="15.5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spans="1:13" s="4" customFormat="1" ht="15.5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 spans="1:13" s="4" customFormat="1" ht="15.5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spans="1:13" s="4" customFormat="1" ht="15.5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 spans="1:13" s="4" customFormat="1" ht="15.5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 spans="1:13" s="4" customFormat="1" ht="15.5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 spans="1:13" s="4" customFormat="1" ht="15.5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 spans="1:13" s="4" customFormat="1" ht="15.5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 spans="1:13" s="4" customFormat="1" ht="15.5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 spans="1:13" s="4" customFormat="1" ht="15.5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 spans="1:13" s="4" customFormat="1" ht="15.5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spans="1:13" s="4" customFormat="1" ht="15.5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 spans="1:13" s="4" customFormat="1" ht="15.5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 spans="1:13" s="4" customFormat="1" ht="15.5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spans="1:13" s="4" customFormat="1" ht="15.5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spans="1:13" s="4" customFormat="1" ht="15.5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spans="1:13" s="4" customFormat="1" ht="15.5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 spans="1:13" s="4" customFormat="1" ht="15.5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spans="1:13" s="4" customFormat="1" ht="15.5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 spans="1:13" s="4" customFormat="1" ht="15.5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 spans="1:13" s="4" customFormat="1" ht="15.5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 spans="1:13" s="4" customFormat="1" ht="15.5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 spans="1:13" s="4" customFormat="1" ht="15.5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 spans="1:13" s="4" customFormat="1" ht="15.5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spans="1:13" s="4" customFormat="1" ht="15.5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 spans="1:13" s="4" customFormat="1" ht="15.5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 spans="1:13" s="4" customFormat="1" ht="15.5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  <row r="387" spans="1:13" s="4" customFormat="1" ht="15.5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</row>
    <row r="388" spans="1:13" s="4" customFormat="1" ht="15.5" x14ac:dyDescent="0.3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</row>
    <row r="389" spans="1:13" s="4" customFormat="1" ht="15.5" x14ac:dyDescent="0.3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</row>
    <row r="390" spans="1:13" s="4" customFormat="1" ht="15.5" x14ac:dyDescent="0.3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</row>
    <row r="391" spans="1:13" s="4" customFormat="1" ht="15.5" x14ac:dyDescent="0.3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</row>
    <row r="392" spans="1:13" s="4" customFormat="1" ht="15.5" x14ac:dyDescent="0.3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</row>
    <row r="393" spans="1:13" s="4" customFormat="1" ht="15.5" x14ac:dyDescent="0.3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</row>
    <row r="394" spans="1:13" s="4" customFormat="1" ht="15.5" x14ac:dyDescent="0.3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</row>
    <row r="395" spans="1:13" s="4" customFormat="1" ht="15.5" x14ac:dyDescent="0.3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</row>
    <row r="396" spans="1:13" s="4" customFormat="1" ht="15.5" x14ac:dyDescent="0.3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</row>
    <row r="397" spans="1:13" s="4" customFormat="1" ht="15.5" x14ac:dyDescent="0.3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</row>
    <row r="398" spans="1:13" s="4" customFormat="1" ht="15.5" x14ac:dyDescent="0.3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</row>
    <row r="399" spans="1:13" s="4" customFormat="1" ht="15.5" x14ac:dyDescent="0.3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</row>
    <row r="400" spans="1:13" s="4" customFormat="1" ht="15.5" x14ac:dyDescent="0.3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</row>
    <row r="401" spans="1:13" s="4" customFormat="1" ht="15.5" x14ac:dyDescent="0.3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</row>
    <row r="402" spans="1:13" s="4" customFormat="1" ht="15.5" x14ac:dyDescent="0.3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</row>
  </sheetData>
  <mergeCells count="37">
    <mergeCell ref="A34:B34"/>
    <mergeCell ref="A35:B35"/>
    <mergeCell ref="A36:B36"/>
    <mergeCell ref="A37:B37"/>
    <mergeCell ref="A1:K3"/>
    <mergeCell ref="A7:D7"/>
    <mergeCell ref="E7:G7"/>
    <mergeCell ref="J7:K7"/>
    <mergeCell ref="H9:I9"/>
    <mergeCell ref="J9:K9"/>
    <mergeCell ref="A21:B21"/>
    <mergeCell ref="A11:C11"/>
    <mergeCell ref="D11:G11"/>
    <mergeCell ref="J11:K11"/>
    <mergeCell ref="D13:E13"/>
    <mergeCell ref="H13:I13"/>
    <mergeCell ref="H15:I15"/>
    <mergeCell ref="A17:E18"/>
    <mergeCell ref="G17:I17"/>
    <mergeCell ref="A19:B19"/>
    <mergeCell ref="A20:B20"/>
    <mergeCell ref="A38:B38"/>
    <mergeCell ref="A39:B39"/>
    <mergeCell ref="A40:B40"/>
    <mergeCell ref="A41:B4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</mergeCells>
  <dataValidations count="2">
    <dataValidation type="list" allowBlank="1" showInputMessage="1" showErrorMessage="1" sqref="J7:K7" xr:uid="{C4FF4B6A-2F8A-4B4C-8129-03A3D664CF4A}">
      <formula1>mois_bon2</formula1>
    </dataValidation>
    <dataValidation type="list" allowBlank="1" showInputMessage="1" showErrorMessage="1" sqref="E7" xr:uid="{376310A1-22F3-4495-8786-725F241A2BF1}">
      <formula1>secteur</formula1>
    </dataValidation>
  </dataValidations>
  <pageMargins left="0.7" right="0.7" top="0.75" bottom="0.75" header="0.3" footer="0.3"/>
  <pageSetup paperSize="9" scale="65" orientation="landscape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CFD4F-6393-4336-B9E5-010911CD0BAA}">
  <sheetPr>
    <tabColor rgb="FF7030A0"/>
  </sheetPr>
  <dimension ref="A1:M395"/>
  <sheetViews>
    <sheetView showGridLines="0" topLeftCell="A7" workbookViewId="0">
      <selection activeCell="H50" activeCellId="1" sqref="F54 H50"/>
    </sheetView>
  </sheetViews>
  <sheetFormatPr baseColWidth="10" defaultRowHeight="17.5" x14ac:dyDescent="0.35"/>
  <cols>
    <col min="1" max="1" width="10.90625" style="8"/>
    <col min="2" max="2" width="11.81640625" style="8" customWidth="1"/>
    <col min="3" max="3" width="14.1796875" style="8" customWidth="1"/>
    <col min="4" max="5" width="10.90625" style="8"/>
    <col min="6" max="6" width="3.54296875" style="8" customWidth="1"/>
    <col min="7" max="8" width="10.90625" style="8"/>
    <col min="9" max="9" width="14.453125" style="8" customWidth="1"/>
    <col min="10" max="10" width="10.90625" style="8"/>
    <col min="11" max="11" width="15.26953125" style="8" bestFit="1" customWidth="1"/>
    <col min="12" max="13" width="10.90625" style="8"/>
  </cols>
  <sheetData>
    <row r="1" spans="1:13" ht="7.5" customHeight="1" x14ac:dyDescent="0.35">
      <c r="A1" s="269" t="s">
        <v>50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</row>
    <row r="2" spans="1:13" ht="13.5" customHeight="1" x14ac:dyDescent="0.35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</row>
    <row r="3" spans="1:13" ht="15" hidden="1" customHeight="1" x14ac:dyDescent="0.35">
      <c r="A3" s="269"/>
      <c r="B3" s="269"/>
      <c r="C3" s="269"/>
      <c r="D3" s="269"/>
      <c r="E3" s="269"/>
      <c r="F3" s="269"/>
      <c r="G3" s="269"/>
      <c r="H3" s="269"/>
      <c r="I3" s="269"/>
      <c r="J3" s="269"/>
      <c r="K3" s="269"/>
    </row>
    <row r="4" spans="1:13" ht="5.25" customHeight="1" x14ac:dyDescent="0.35"/>
    <row r="5" spans="1:13" ht="13.5" customHeight="1" x14ac:dyDescent="0.35">
      <c r="A5" s="34" t="s">
        <v>52</v>
      </c>
    </row>
    <row r="6" spans="1:13" ht="5.25" customHeight="1" thickBot="1" x14ac:dyDescent="0.4">
      <c r="A6" s="34"/>
    </row>
    <row r="7" spans="1:13" s="23" customFormat="1" ht="16.5" thickTop="1" thickBot="1" x14ac:dyDescent="0.4">
      <c r="A7" s="270" t="s">
        <v>44</v>
      </c>
      <c r="B7" s="270"/>
      <c r="C7" s="270"/>
      <c r="D7" s="270"/>
      <c r="E7" s="271" t="s">
        <v>27</v>
      </c>
      <c r="F7" s="272"/>
      <c r="G7" s="273"/>
      <c r="I7" s="36" t="s">
        <v>46</v>
      </c>
      <c r="J7" s="274" t="s">
        <v>241</v>
      </c>
      <c r="K7" s="275"/>
      <c r="M7" s="28"/>
    </row>
    <row r="8" spans="1:13" ht="5.25" customHeight="1" thickTop="1" thickBot="1" x14ac:dyDescent="0.4"/>
    <row r="9" spans="1:13" ht="18.5" thickTop="1" thickBot="1" x14ac:dyDescent="0.4">
      <c r="H9" s="267" t="s">
        <v>53</v>
      </c>
      <c r="I9" s="268"/>
      <c r="J9" s="276">
        <v>46275</v>
      </c>
      <c r="K9" s="277"/>
    </row>
    <row r="10" spans="1:13" ht="18.5" thickTop="1" thickBot="1" x14ac:dyDescent="0.4">
      <c r="J10" s="45"/>
      <c r="K10" s="37"/>
    </row>
    <row r="11" spans="1:13" s="3" customFormat="1" ht="16.5" thickTop="1" thickBot="1" x14ac:dyDescent="0.4">
      <c r="A11" s="270" t="s">
        <v>45</v>
      </c>
      <c r="B11" s="270"/>
      <c r="C11" s="270"/>
      <c r="D11" s="271" t="s">
        <v>14</v>
      </c>
      <c r="E11" s="272"/>
      <c r="F11" s="272"/>
      <c r="G11" s="273"/>
      <c r="H11" s="23"/>
      <c r="I11" s="31" t="s">
        <v>47</v>
      </c>
      <c r="J11" s="271"/>
      <c r="K11" s="273"/>
      <c r="L11" s="23"/>
      <c r="M11" s="23"/>
    </row>
    <row r="12" spans="1:13" s="4" customFormat="1" ht="16.5" thickTop="1" thickBot="1" x14ac:dyDescent="0.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s="25" customFormat="1" ht="16.5" thickTop="1" thickBot="1" x14ac:dyDescent="0.4">
      <c r="A13" s="52" t="s">
        <v>76</v>
      </c>
      <c r="B13" s="46"/>
      <c r="C13" s="35">
        <v>4000000</v>
      </c>
      <c r="D13" s="267" t="s">
        <v>49</v>
      </c>
      <c r="E13" s="267"/>
      <c r="F13" s="32">
        <v>12</v>
      </c>
      <c r="G13" s="30" t="s">
        <v>48</v>
      </c>
      <c r="H13" s="278" t="s">
        <v>57</v>
      </c>
      <c r="I13" s="279"/>
      <c r="J13" s="187">
        <f>IF(C13&lt;1000000,F13*1.5%,F13%)</f>
        <v>0.12</v>
      </c>
      <c r="K13" s="24"/>
      <c r="L13" s="24"/>
      <c r="M13" s="24"/>
    </row>
    <row r="14" spans="1:13" s="4" customFormat="1" ht="16.5" thickTop="1" thickBot="1" x14ac:dyDescent="0.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s="3" customFormat="1" ht="16.5" thickTop="1" thickBot="1" x14ac:dyDescent="0.4">
      <c r="A15" s="23"/>
      <c r="B15" s="23"/>
      <c r="C15" s="23"/>
      <c r="D15" s="23"/>
      <c r="E15" s="23"/>
      <c r="F15" s="23"/>
      <c r="G15" s="23"/>
      <c r="H15" s="267" t="s">
        <v>26</v>
      </c>
      <c r="I15" s="268"/>
      <c r="J15" s="27">
        <f>C13*J13</f>
        <v>480000</v>
      </c>
      <c r="K15" s="23"/>
      <c r="L15" s="23"/>
      <c r="M15" s="23"/>
    </row>
    <row r="16" spans="1:13" s="4" customFormat="1" ht="16.5" thickTop="1" thickBot="1" x14ac:dyDescent="0.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s="4" customFormat="1" ht="18.75" customHeight="1" thickTop="1" thickBot="1" x14ac:dyDescent="0.4">
      <c r="A17" s="280" t="s">
        <v>51</v>
      </c>
      <c r="B17" s="280"/>
      <c r="C17" s="280"/>
      <c r="D17" s="280"/>
      <c r="E17" s="280"/>
      <c r="F17" s="15"/>
      <c r="G17" s="282" t="s">
        <v>73</v>
      </c>
      <c r="H17" s="282"/>
      <c r="I17" s="283"/>
      <c r="J17" s="51">
        <f>C13+J15</f>
        <v>4480000</v>
      </c>
      <c r="K17" s="15"/>
      <c r="L17" s="15"/>
      <c r="M17" s="15"/>
    </row>
    <row r="18" spans="1:13" s="4" customFormat="1" ht="13.5" customHeight="1" thickTop="1" thickBot="1" x14ac:dyDescent="0.4">
      <c r="A18" s="281"/>
      <c r="B18" s="281"/>
      <c r="C18" s="281"/>
      <c r="D18" s="281"/>
      <c r="E18" s="281"/>
      <c r="F18" s="15"/>
      <c r="G18" s="15"/>
      <c r="H18" s="15"/>
      <c r="I18" s="15"/>
      <c r="J18" s="15"/>
      <c r="K18" s="15"/>
      <c r="L18" s="15"/>
      <c r="M18" s="15"/>
    </row>
    <row r="19" spans="1:13" s="4" customFormat="1" ht="42.75" customHeight="1" thickTop="1" thickBot="1" x14ac:dyDescent="0.45">
      <c r="A19" s="284" t="s">
        <v>196</v>
      </c>
      <c r="B19" s="285"/>
      <c r="C19" s="38" t="s">
        <v>54</v>
      </c>
      <c r="D19" s="39" t="s">
        <v>55</v>
      </c>
      <c r="E19" s="40" t="s">
        <v>56</v>
      </c>
      <c r="F19" s="15"/>
      <c r="G19" s="26"/>
      <c r="H19" s="15"/>
      <c r="I19" s="15"/>
      <c r="J19" s="15"/>
      <c r="K19" s="15"/>
      <c r="L19" s="15"/>
      <c r="M19" s="15"/>
    </row>
    <row r="20" spans="1:13" s="4" customFormat="1" ht="16" thickBot="1" x14ac:dyDescent="0.4">
      <c r="A20" s="286">
        <v>45870</v>
      </c>
      <c r="B20" s="287"/>
      <c r="C20" s="41"/>
      <c r="D20" s="44"/>
      <c r="E20" s="43">
        <f t="shared" ref="E20:E33" si="0">C20-D20</f>
        <v>0</v>
      </c>
      <c r="F20" s="15"/>
      <c r="G20" s="15"/>
      <c r="H20" s="15"/>
      <c r="I20" s="15"/>
      <c r="J20" s="15"/>
      <c r="K20" s="15"/>
      <c r="L20" s="15"/>
      <c r="M20" s="15"/>
    </row>
    <row r="21" spans="1:13" s="4" customFormat="1" ht="16" thickBot="1" x14ac:dyDescent="0.4">
      <c r="A21" s="286">
        <v>45901</v>
      </c>
      <c r="B21" s="287"/>
      <c r="C21" s="41"/>
      <c r="D21" s="44"/>
      <c r="E21" s="43">
        <f t="shared" si="0"/>
        <v>0</v>
      </c>
      <c r="F21" s="15"/>
      <c r="G21" s="15"/>
      <c r="H21" s="15"/>
      <c r="I21" s="15"/>
      <c r="J21" s="15"/>
      <c r="K21" s="15"/>
      <c r="L21" s="15"/>
      <c r="M21" s="15"/>
    </row>
    <row r="22" spans="1:13" s="4" customFormat="1" ht="16" thickBot="1" x14ac:dyDescent="0.4">
      <c r="A22" s="286">
        <v>45931</v>
      </c>
      <c r="B22" s="287"/>
      <c r="C22" s="41">
        <f t="shared" ref="C22:C33" si="1">J$17/F$13</f>
        <v>373333.33333333331</v>
      </c>
      <c r="D22" s="44"/>
      <c r="E22" s="43">
        <f t="shared" si="0"/>
        <v>373333.33333333331</v>
      </c>
      <c r="F22" s="15"/>
      <c r="G22" s="15"/>
      <c r="H22" s="15"/>
      <c r="I22" s="15"/>
      <c r="J22" s="15"/>
      <c r="K22" s="15"/>
      <c r="L22" s="15"/>
      <c r="M22" s="15"/>
    </row>
    <row r="23" spans="1:13" s="4" customFormat="1" ht="16" thickBot="1" x14ac:dyDescent="0.4">
      <c r="A23" s="286">
        <v>45962</v>
      </c>
      <c r="B23" s="287"/>
      <c r="C23" s="41">
        <f t="shared" si="1"/>
        <v>373333.33333333331</v>
      </c>
      <c r="D23" s="44"/>
      <c r="E23" s="43">
        <f t="shared" si="0"/>
        <v>373333.33333333331</v>
      </c>
      <c r="F23" s="15"/>
      <c r="G23" s="15"/>
      <c r="H23" s="15"/>
      <c r="I23" s="15"/>
      <c r="J23" s="15"/>
      <c r="K23" s="15"/>
      <c r="L23" s="15"/>
      <c r="M23" s="15"/>
    </row>
    <row r="24" spans="1:13" s="4" customFormat="1" ht="16" thickBot="1" x14ac:dyDescent="0.4">
      <c r="A24" s="286">
        <v>45992</v>
      </c>
      <c r="B24" s="287"/>
      <c r="C24" s="41">
        <f t="shared" si="1"/>
        <v>373333.33333333331</v>
      </c>
      <c r="D24" s="44"/>
      <c r="E24" s="43">
        <f t="shared" si="0"/>
        <v>373333.33333333331</v>
      </c>
      <c r="F24" s="15"/>
      <c r="G24" s="15"/>
      <c r="H24" s="15"/>
      <c r="I24" s="15"/>
      <c r="J24" s="15"/>
      <c r="K24" s="15"/>
      <c r="L24" s="15"/>
      <c r="M24" s="15"/>
    </row>
    <row r="25" spans="1:13" s="4" customFormat="1" ht="16" thickBot="1" x14ac:dyDescent="0.4">
      <c r="A25" s="286">
        <v>46023</v>
      </c>
      <c r="B25" s="287"/>
      <c r="C25" s="41">
        <f t="shared" si="1"/>
        <v>373333.33333333331</v>
      </c>
      <c r="D25" s="44"/>
      <c r="E25" s="43">
        <f t="shared" si="0"/>
        <v>373333.33333333331</v>
      </c>
      <c r="F25" s="15"/>
      <c r="G25" s="15"/>
      <c r="H25" s="15"/>
      <c r="I25" s="15"/>
      <c r="J25" s="15"/>
      <c r="K25" s="15"/>
      <c r="L25" s="15"/>
      <c r="M25" s="15"/>
    </row>
    <row r="26" spans="1:13" s="4" customFormat="1" ht="16" thickBot="1" x14ac:dyDescent="0.4">
      <c r="A26" s="286">
        <v>46054</v>
      </c>
      <c r="B26" s="287"/>
      <c r="C26" s="41">
        <f t="shared" si="1"/>
        <v>373333.33333333331</v>
      </c>
      <c r="D26" s="44"/>
      <c r="E26" s="43">
        <f t="shared" si="0"/>
        <v>373333.33333333331</v>
      </c>
      <c r="F26" s="15"/>
      <c r="G26" s="15"/>
      <c r="H26" s="15"/>
      <c r="I26" s="15"/>
      <c r="J26" s="15"/>
      <c r="K26" s="15"/>
      <c r="L26" s="15"/>
      <c r="M26" s="15"/>
    </row>
    <row r="27" spans="1:13" s="4" customFormat="1" ht="16" thickBot="1" x14ac:dyDescent="0.4">
      <c r="A27" s="286">
        <v>46082</v>
      </c>
      <c r="B27" s="287"/>
      <c r="C27" s="41">
        <f t="shared" si="1"/>
        <v>373333.33333333331</v>
      </c>
      <c r="D27" s="44"/>
      <c r="E27" s="43">
        <f t="shared" si="0"/>
        <v>373333.33333333331</v>
      </c>
      <c r="F27" s="15"/>
      <c r="G27" s="15"/>
      <c r="H27" s="15"/>
      <c r="I27" s="15"/>
      <c r="J27" s="15"/>
      <c r="K27" s="15"/>
      <c r="L27" s="15"/>
      <c r="M27" s="15"/>
    </row>
    <row r="28" spans="1:13" s="4" customFormat="1" ht="16" thickBot="1" x14ac:dyDescent="0.4">
      <c r="A28" s="286">
        <v>46113</v>
      </c>
      <c r="B28" s="287"/>
      <c r="C28" s="41">
        <f t="shared" si="1"/>
        <v>373333.33333333331</v>
      </c>
      <c r="D28" s="44"/>
      <c r="E28" s="43">
        <f t="shared" si="0"/>
        <v>373333.33333333331</v>
      </c>
      <c r="F28" s="15"/>
      <c r="G28" s="15"/>
      <c r="H28" s="15"/>
      <c r="I28" s="15"/>
      <c r="J28" s="15"/>
      <c r="K28" s="15"/>
      <c r="L28" s="15"/>
      <c r="M28" s="15"/>
    </row>
    <row r="29" spans="1:13" s="4" customFormat="1" ht="16" thickBot="1" x14ac:dyDescent="0.4">
      <c r="A29" s="286">
        <v>46143</v>
      </c>
      <c r="B29" s="287"/>
      <c r="C29" s="41">
        <f t="shared" si="1"/>
        <v>373333.33333333331</v>
      </c>
      <c r="D29" s="44"/>
      <c r="E29" s="43">
        <f t="shared" si="0"/>
        <v>373333.33333333331</v>
      </c>
      <c r="F29" s="15"/>
      <c r="G29" s="15"/>
      <c r="H29" s="15"/>
      <c r="I29" s="15"/>
      <c r="J29" s="15"/>
      <c r="K29" s="15"/>
      <c r="L29" s="15"/>
      <c r="M29" s="15"/>
    </row>
    <row r="30" spans="1:13" s="4" customFormat="1" ht="16" thickBot="1" x14ac:dyDescent="0.4">
      <c r="A30" s="286">
        <v>46174</v>
      </c>
      <c r="B30" s="287"/>
      <c r="C30" s="41">
        <f t="shared" si="1"/>
        <v>373333.33333333331</v>
      </c>
      <c r="D30" s="44"/>
      <c r="E30" s="43">
        <f t="shared" si="0"/>
        <v>373333.33333333331</v>
      </c>
      <c r="F30" s="15"/>
      <c r="G30" s="15"/>
      <c r="H30" s="15"/>
      <c r="I30" s="15"/>
      <c r="J30" s="15"/>
      <c r="K30" s="15"/>
      <c r="L30" s="15"/>
      <c r="M30" s="15"/>
    </row>
    <row r="31" spans="1:13" s="4" customFormat="1" ht="16" thickBot="1" x14ac:dyDescent="0.4">
      <c r="A31" s="286">
        <v>46204</v>
      </c>
      <c r="B31" s="287"/>
      <c r="C31" s="41">
        <f t="shared" si="1"/>
        <v>373333.33333333331</v>
      </c>
      <c r="D31" s="44"/>
      <c r="E31" s="43">
        <f t="shared" si="0"/>
        <v>373333.33333333331</v>
      </c>
      <c r="F31" s="15"/>
      <c r="G31" s="15"/>
      <c r="H31" s="15"/>
      <c r="I31" s="15"/>
      <c r="J31" s="15"/>
      <c r="K31" s="15"/>
      <c r="L31" s="15"/>
      <c r="M31" s="15"/>
    </row>
    <row r="32" spans="1:13" s="4" customFormat="1" ht="16" thickBot="1" x14ac:dyDescent="0.4">
      <c r="A32" s="286">
        <v>46235</v>
      </c>
      <c r="B32" s="287"/>
      <c r="C32" s="41">
        <f t="shared" si="1"/>
        <v>373333.33333333331</v>
      </c>
      <c r="D32" s="44"/>
      <c r="E32" s="43">
        <f t="shared" si="0"/>
        <v>373333.33333333331</v>
      </c>
      <c r="F32" s="15"/>
      <c r="G32" s="15"/>
      <c r="H32" s="15"/>
      <c r="I32" s="15"/>
      <c r="J32" s="15"/>
      <c r="K32" s="15"/>
      <c r="L32" s="15"/>
      <c r="M32" s="15"/>
    </row>
    <row r="33" spans="1:13" s="4" customFormat="1" ht="16" thickBot="1" x14ac:dyDescent="0.4">
      <c r="A33" s="286">
        <v>46266</v>
      </c>
      <c r="B33" s="287"/>
      <c r="C33" s="41">
        <f t="shared" si="1"/>
        <v>373333.33333333331</v>
      </c>
      <c r="D33" s="44"/>
      <c r="E33" s="43">
        <f t="shared" si="0"/>
        <v>373333.33333333331</v>
      </c>
      <c r="F33" s="15"/>
      <c r="G33" s="15"/>
      <c r="H33" s="15"/>
      <c r="I33" s="15"/>
      <c r="J33" s="15"/>
      <c r="K33" s="15"/>
      <c r="L33" s="15"/>
      <c r="M33" s="15"/>
    </row>
    <row r="34" spans="1:13" s="3" customFormat="1" ht="20.25" customHeight="1" thickBot="1" x14ac:dyDescent="0.4">
      <c r="A34" s="288" t="s">
        <v>43</v>
      </c>
      <c r="B34" s="289"/>
      <c r="C34" s="29">
        <f>SUM(C20:C33)</f>
        <v>4480000.0000000009</v>
      </c>
      <c r="D34" s="29">
        <f>SUM(D20:D33)</f>
        <v>0</v>
      </c>
      <c r="E34" s="29">
        <f>SUM(E20:E33)</f>
        <v>4480000.0000000009</v>
      </c>
      <c r="F34" s="23"/>
      <c r="G34" s="23"/>
      <c r="H34" s="23"/>
      <c r="I34" s="23"/>
      <c r="J34" s="23"/>
      <c r="K34" s="23"/>
      <c r="L34" s="23"/>
      <c r="M34" s="23"/>
    </row>
    <row r="35" spans="1:13" s="4" customFormat="1" ht="16" thickTop="1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 s="4" customFormat="1" ht="15.5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s="4" customFormat="1" ht="15.5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s="4" customFormat="1" ht="15.5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s="4" customFormat="1" ht="15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s="4" customFormat="1" ht="15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s="4" customFormat="1" ht="15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s="4" customFormat="1" ht="15.5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 s="4" customFormat="1" ht="15.5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s="4" customFormat="1" ht="15.5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s="4" customFormat="1" ht="15.5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s="4" customFormat="1" ht="15.5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s="4" customFormat="1" ht="15.5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s="4" customFormat="1" ht="15.5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s="4" customFormat="1" ht="15.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s="4" customFormat="1" ht="15.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s="4" customFormat="1" ht="15.5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s="4" customFormat="1" ht="15.5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s="4" customFormat="1" ht="15.5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s="4" customFormat="1" ht="15.5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s="4" customFormat="1" ht="15.5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 s="4" customFormat="1" ht="15.5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s="4" customFormat="1" ht="15.5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 s="4" customFormat="1" ht="15.5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s="4" customFormat="1" ht="15.5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s="4" customFormat="1" ht="15.5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s="4" customFormat="1" ht="15.5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 s="4" customFormat="1" ht="15.5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s="4" customFormat="1" ht="15.5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 s="4" customFormat="1" ht="15.5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s="4" customFormat="1" ht="15.5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s="4" customFormat="1" ht="15.5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s="4" customFormat="1" ht="15.5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s="4" customFormat="1" ht="15.5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s="4" customFormat="1" ht="15.5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s="4" customFormat="1" ht="15.5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s="4" customFormat="1" ht="15.5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s="4" customFormat="1" ht="15.5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s="4" customFormat="1" ht="15.5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s="4" customFormat="1" ht="15.5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 s="4" customFormat="1" ht="15.5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s="4" customFormat="1" ht="15.5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s="4" customFormat="1" ht="15.5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 s="4" customFormat="1" ht="15.5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s="4" customFormat="1" ht="15.5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s="4" customFormat="1" ht="15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s="4" customFormat="1" ht="15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s="4" customFormat="1" ht="15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 s="4" customFormat="1" ht="15.5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s="4" customFormat="1" ht="15.5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1:13" s="4" customFormat="1" ht="15.5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1:13" s="4" customFormat="1" ht="15.5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 s="4" customFormat="1" ht="15.5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 s="4" customFormat="1" ht="15.5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s="4" customFormat="1" ht="15.5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 s="4" customFormat="1" ht="15.5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 s="4" customFormat="1" ht="15.5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 s="4" customFormat="1" ht="15.5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 s="4" customFormat="1" ht="15.5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1:13" s="4" customFormat="1" ht="15.5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s="4" customFormat="1" ht="15.5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 s="4" customFormat="1" ht="15.5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s="4" customFormat="1" ht="15.5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s="4" customFormat="1" ht="15.5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1:13" s="4" customFormat="1" ht="15.5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 s="4" customFormat="1" ht="15.5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s="4" customFormat="1" ht="15.5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1:13" s="4" customFormat="1" ht="15.5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s="4" customFormat="1" ht="15.5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s="4" customFormat="1" ht="15.5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1:13" s="4" customFormat="1" ht="15.5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1:13" s="4" customFormat="1" ht="15.5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1:13" s="4" customFormat="1" ht="15.5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 s="4" customFormat="1" ht="15.5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1:13" s="4" customFormat="1" ht="15.5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s="4" customFormat="1" ht="15.5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1:13" s="4" customFormat="1" ht="15.5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 s="4" customFormat="1" ht="15.5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1:13" s="4" customFormat="1" ht="15.5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 s="4" customFormat="1" ht="15.5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 s="4" customFormat="1" ht="15.5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 s="4" customFormat="1" ht="15.5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 s="4" customFormat="1" ht="15.5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 s="4" customFormat="1" ht="15.5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 s="4" customFormat="1" ht="15.5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 s="4" customFormat="1" ht="15.5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 s="4" customFormat="1" ht="15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1:13" s="4" customFormat="1" ht="15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1:13" s="4" customFormat="1" ht="15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1:13" s="4" customFormat="1" ht="15.5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1:13" s="4" customFormat="1" ht="15.5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1:13" s="4" customFormat="1" ht="15.5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 s="4" customFormat="1" ht="15.5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1:13" s="4" customFormat="1" ht="15.5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s="4" customFormat="1" ht="15.5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3" s="4" customFormat="1" ht="15.5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1:13" s="4" customFormat="1" ht="15.5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 s="4" customFormat="1" ht="15.5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 s="4" customFormat="1" ht="15.5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 s="4" customFormat="1" ht="15.5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 s="4" customFormat="1" ht="15.5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 s="4" customFormat="1" ht="15.5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1:13" s="4" customFormat="1" ht="15.5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1:13" s="4" customFormat="1" ht="15.5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1:13" s="4" customFormat="1" ht="15.5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 s="4" customFormat="1" ht="15.5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1:13" s="4" customFormat="1" ht="15.5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 s="4" customFormat="1" ht="15.5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 s="4" customFormat="1" ht="15.5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1:13" s="4" customFormat="1" ht="15.5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1:13" s="4" customFormat="1" ht="15.5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 s="4" customFormat="1" ht="15.5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1:13" s="4" customFormat="1" ht="15.5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 s="4" customFormat="1" ht="15.5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1:13" s="4" customFormat="1" ht="15.5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1:13" s="4" customFormat="1" ht="15.5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 s="4" customFormat="1" ht="15.5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 s="4" customFormat="1" ht="15.5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s="4" customFormat="1" ht="15.5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 s="4" customFormat="1" ht="15.5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1:13" s="4" customFormat="1" ht="15.5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 s="4" customFormat="1" ht="15.5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spans="1:13" s="4" customFormat="1" ht="15.5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spans="1:13" s="4" customFormat="1" ht="15.5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spans="1:13" s="4" customFormat="1" ht="15.5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1:13" s="4" customFormat="1" ht="15.5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1:13" s="4" customFormat="1" ht="15.5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1:13" s="4" customFormat="1" ht="15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1:13" s="4" customFormat="1" ht="15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1:13" s="4" customFormat="1" ht="15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spans="1:13" s="4" customFormat="1" ht="15.5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1:13" s="4" customFormat="1" ht="15.5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1:13" s="4" customFormat="1" ht="15.5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spans="1:13" s="4" customFormat="1" ht="15.5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spans="1:13" s="4" customFormat="1" ht="15.5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spans="1:13" s="4" customFormat="1" ht="15.5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spans="1:13" s="4" customFormat="1" ht="15.5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spans="1:13" s="4" customFormat="1" ht="15.5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spans="1:13" s="4" customFormat="1" ht="15.5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spans="1:13" s="4" customFormat="1" ht="15.5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spans="1:13" s="4" customFormat="1" ht="15.5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spans="1:13" s="4" customFormat="1" ht="15.5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spans="1:13" s="4" customFormat="1" ht="15.5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1:13" s="4" customFormat="1" ht="15.5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spans="1:13" s="4" customFormat="1" ht="15.5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1:13" s="4" customFormat="1" ht="15.5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spans="1:13" s="4" customFormat="1" ht="15.5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1:13" s="4" customFormat="1" ht="15.5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spans="1:13" s="4" customFormat="1" ht="15.5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1:13" s="4" customFormat="1" ht="15.5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spans="1:13" s="4" customFormat="1" ht="15.5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spans="1:13" s="4" customFormat="1" ht="15.5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spans="1:13" s="4" customFormat="1" ht="15.5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1:13" s="4" customFormat="1" ht="15.5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spans="1:13" s="4" customFormat="1" ht="15.5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1:13" s="4" customFormat="1" ht="15.5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spans="1:13" s="4" customFormat="1" ht="15.5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spans="1:13" s="4" customFormat="1" ht="15.5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spans="1:13" s="4" customFormat="1" ht="15.5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spans="1:13" s="4" customFormat="1" ht="15.5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spans="1:13" s="4" customFormat="1" ht="15.5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1:13" s="4" customFormat="1" ht="15.5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spans="1:13" s="4" customFormat="1" ht="15.5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spans="1:13" s="4" customFormat="1" ht="15.5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1:13" s="4" customFormat="1" ht="15.5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1:13" s="4" customFormat="1" ht="15.5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1:13" s="4" customFormat="1" ht="15.5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spans="1:13" s="4" customFormat="1" ht="15.5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spans="1:13" s="4" customFormat="1" ht="15.5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  <row r="204" spans="1:13" s="4" customFormat="1" ht="15.5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</row>
    <row r="205" spans="1:13" s="4" customFormat="1" ht="15.5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</row>
    <row r="206" spans="1:13" s="4" customFormat="1" ht="15.5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1:13" s="4" customFormat="1" ht="15.5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spans="1:13" s="4" customFormat="1" ht="15.5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1:13" s="4" customFormat="1" ht="15.5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</row>
    <row r="210" spans="1:13" s="4" customFormat="1" ht="15.5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</row>
    <row r="211" spans="1:13" s="4" customFormat="1" ht="15.5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</row>
    <row r="212" spans="1:13" s="4" customFormat="1" ht="15.5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spans="1:13" s="4" customFormat="1" ht="15.5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</row>
    <row r="214" spans="1:13" s="4" customFormat="1" ht="15.5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spans="1:13" s="4" customFormat="1" ht="15.5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spans="1:13" s="4" customFormat="1" ht="15.5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spans="1:13" s="4" customFormat="1" ht="15.5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spans="1:13" s="4" customFormat="1" ht="15.5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spans="1:13" s="4" customFormat="1" ht="15.5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spans="1:13" s="4" customFormat="1" ht="15.5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spans="1:13" s="4" customFormat="1" ht="15.5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spans="1:13" s="4" customFormat="1" ht="15.5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spans="1:13" s="4" customFormat="1" ht="15.5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spans="1:13" s="4" customFormat="1" ht="15.5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5" spans="1:13" s="4" customFormat="1" ht="15.5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spans="1:13" s="4" customFormat="1" ht="15.5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27" spans="1:13" s="4" customFormat="1" ht="15.5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spans="1:13" s="4" customFormat="1" ht="15.5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spans="1:13" s="4" customFormat="1" ht="15.5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spans="1:13" s="4" customFormat="1" ht="15.5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</row>
    <row r="231" spans="1:13" s="4" customFormat="1" ht="15.5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</row>
    <row r="232" spans="1:13" s="4" customFormat="1" ht="15.5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</row>
    <row r="233" spans="1:13" s="4" customFormat="1" ht="15.5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</row>
    <row r="234" spans="1:13" s="4" customFormat="1" ht="15.5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spans="1:13" s="4" customFormat="1" ht="15.5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</row>
    <row r="236" spans="1:13" s="4" customFormat="1" ht="15.5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spans="1:13" s="4" customFormat="1" ht="15.5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</row>
    <row r="238" spans="1:13" s="4" customFormat="1" ht="15.5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spans="1:13" s="4" customFormat="1" ht="15.5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</row>
    <row r="240" spans="1:13" s="4" customFormat="1" ht="15.5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spans="1:13" s="4" customFormat="1" ht="15.5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</row>
    <row r="242" spans="1:13" s="4" customFormat="1" ht="15.5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3" spans="1:13" s="4" customFormat="1" ht="15.5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</row>
    <row r="244" spans="1:13" s="4" customFormat="1" ht="15.5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1:13" s="4" customFormat="1" ht="15.5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spans="1:13" s="4" customFormat="1" ht="15.5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spans="1:13" s="4" customFormat="1" ht="15.5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spans="1:13" s="4" customFormat="1" ht="15.5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spans="1:13" s="4" customFormat="1" ht="15.5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spans="1:13" s="4" customFormat="1" ht="15.5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</row>
    <row r="251" spans="1:13" s="4" customFormat="1" ht="15.5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spans="1:13" s="4" customFormat="1" ht="15.5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spans="1:13" s="4" customFormat="1" ht="15.5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</row>
    <row r="254" spans="1:13" s="4" customFormat="1" ht="15.5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spans="1:13" s="4" customFormat="1" ht="15.5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</row>
    <row r="256" spans="1:13" s="4" customFormat="1" ht="15.5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</row>
    <row r="257" spans="1:13" s="4" customFormat="1" ht="15.5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spans="1:13" s="4" customFormat="1" ht="15.5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</row>
    <row r="259" spans="1:13" s="4" customFormat="1" ht="15.5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spans="1:13" s="4" customFormat="1" ht="15.5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spans="1:13" s="4" customFormat="1" ht="15.5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spans="1:13" s="4" customFormat="1" ht="15.5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spans="1:13" s="4" customFormat="1" ht="15.5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spans="1:13" s="4" customFormat="1" ht="15.5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spans="1:13" s="4" customFormat="1" ht="15.5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spans="1:13" s="4" customFormat="1" ht="15.5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spans="1:13" s="4" customFormat="1" ht="15.5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</row>
    <row r="268" spans="1:13" s="4" customFormat="1" ht="15.5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spans="1:13" s="4" customFormat="1" ht="15.5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</row>
    <row r="270" spans="1:13" s="4" customFormat="1" ht="15.5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</row>
    <row r="271" spans="1:13" s="4" customFormat="1" ht="15.5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</row>
    <row r="272" spans="1:13" s="4" customFormat="1" ht="15.5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spans="1:13" s="4" customFormat="1" ht="15.5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spans="1:13" s="4" customFormat="1" ht="15.5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</row>
    <row r="275" spans="1:13" s="4" customFormat="1" ht="15.5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</row>
    <row r="276" spans="1:13" s="4" customFormat="1" ht="15.5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spans="1:13" s="4" customFormat="1" ht="15.5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 spans="1:13" s="4" customFormat="1" ht="15.5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 spans="1:13" s="4" customFormat="1" ht="15.5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 spans="1:13" s="4" customFormat="1" ht="15.5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spans="1:13" s="4" customFormat="1" ht="15.5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 spans="1:13" s="4" customFormat="1" ht="15.5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spans="1:13" s="4" customFormat="1" ht="15.5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spans="1:13" s="4" customFormat="1" ht="15.5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spans="1:13" s="4" customFormat="1" ht="15.5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spans="1:13" s="4" customFormat="1" ht="15.5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 spans="1:13" s="4" customFormat="1" ht="15.5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 spans="1:13" s="4" customFormat="1" ht="15.5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 spans="1:13" s="4" customFormat="1" ht="15.5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spans="1:13" s="4" customFormat="1" ht="15.5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 spans="1:13" s="4" customFormat="1" ht="15.5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 spans="1:13" s="4" customFormat="1" ht="15.5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 spans="1:13" s="4" customFormat="1" ht="15.5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spans="1:13" s="4" customFormat="1" ht="15.5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 spans="1:13" s="4" customFormat="1" ht="15.5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spans="1:13" s="4" customFormat="1" ht="15.5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 spans="1:13" s="4" customFormat="1" ht="15.5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spans="1:13" s="4" customFormat="1" ht="15.5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 spans="1:13" s="4" customFormat="1" ht="15.5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 spans="1:13" s="4" customFormat="1" ht="15.5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 spans="1:13" s="4" customFormat="1" ht="15.5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spans="1:13" s="4" customFormat="1" ht="15.5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spans="1:13" s="4" customFormat="1" ht="15.5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spans="1:13" s="4" customFormat="1" ht="15.5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 spans="1:13" s="4" customFormat="1" ht="15.5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 spans="1:13" s="4" customFormat="1" ht="15.5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 spans="1:13" s="4" customFormat="1" ht="15.5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 spans="1:13" s="4" customFormat="1" ht="15.5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 spans="1:13" s="4" customFormat="1" ht="15.5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spans="1:13" s="4" customFormat="1" ht="15.5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 spans="1:13" s="4" customFormat="1" ht="15.5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 spans="1:13" s="4" customFormat="1" ht="15.5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 spans="1:13" s="4" customFormat="1" ht="15.5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 spans="1:13" s="4" customFormat="1" ht="15.5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spans="1:13" s="4" customFormat="1" ht="15.5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 spans="1:13" s="4" customFormat="1" ht="15.5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 spans="1:13" s="4" customFormat="1" ht="15.5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 spans="1:13" s="4" customFormat="1" ht="15.5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 spans="1:13" s="4" customFormat="1" ht="15.5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 spans="1:13" s="4" customFormat="1" ht="15.5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spans="1:13" s="4" customFormat="1" ht="15.5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spans="1:13" s="4" customFormat="1" ht="15.5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spans="1:13" s="4" customFormat="1" ht="15.5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 spans="1:13" s="4" customFormat="1" ht="15.5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 spans="1:13" s="4" customFormat="1" ht="15.5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spans="1:13" s="4" customFormat="1" ht="15.5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 spans="1:13" s="4" customFormat="1" ht="15.5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 spans="1:13" s="4" customFormat="1" ht="15.5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spans="1:13" s="4" customFormat="1" ht="15.5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 spans="1:13" s="4" customFormat="1" ht="15.5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 spans="1:13" s="4" customFormat="1" ht="15.5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 spans="1:13" s="4" customFormat="1" ht="15.5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spans="1:13" s="4" customFormat="1" ht="15.5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 spans="1:13" s="4" customFormat="1" ht="15.5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spans="1:13" s="4" customFormat="1" ht="15.5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 spans="1:13" s="4" customFormat="1" ht="15.5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spans="1:13" s="4" customFormat="1" ht="15.5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 spans="1:13" s="4" customFormat="1" ht="15.5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 spans="1:13" s="4" customFormat="1" ht="15.5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spans="1:13" s="4" customFormat="1" ht="15.5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spans="1:13" s="4" customFormat="1" ht="15.5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spans="1:13" s="4" customFormat="1" ht="15.5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spans="1:13" s="4" customFormat="1" ht="15.5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 spans="1:13" s="4" customFormat="1" ht="15.5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 spans="1:13" s="4" customFormat="1" ht="15.5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spans="1:13" s="4" customFormat="1" ht="15.5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 spans="1:13" s="4" customFormat="1" ht="15.5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 spans="1:13" s="4" customFormat="1" ht="15.5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 spans="1:13" s="4" customFormat="1" ht="15.5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 spans="1:13" s="4" customFormat="1" ht="15.5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spans="1:13" s="4" customFormat="1" ht="15.5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 spans="1:13" s="4" customFormat="1" ht="15.5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 spans="1:13" s="4" customFormat="1" ht="15.5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 spans="1:13" s="4" customFormat="1" ht="15.5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 spans="1:13" s="4" customFormat="1" ht="15.5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 spans="1:13" s="4" customFormat="1" ht="15.5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 spans="1:13" s="4" customFormat="1" ht="15.5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 spans="1:13" s="4" customFormat="1" ht="15.5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spans="1:13" s="4" customFormat="1" ht="15.5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spans="1:13" s="4" customFormat="1" ht="15.5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spans="1:13" s="4" customFormat="1" ht="15.5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 spans="1:13" s="4" customFormat="1" ht="15.5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spans="1:13" s="4" customFormat="1" ht="15.5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 spans="1:13" s="4" customFormat="1" ht="15.5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 spans="1:13" s="4" customFormat="1" ht="15.5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 spans="1:13" s="4" customFormat="1" ht="15.5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 spans="1:13" s="4" customFormat="1" ht="15.5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 spans="1:13" s="4" customFormat="1" ht="15.5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 spans="1:13" s="4" customFormat="1" ht="15.5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 spans="1:13" s="4" customFormat="1" ht="15.5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spans="1:13" s="4" customFormat="1" ht="15.5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 spans="1:13" s="4" customFormat="1" ht="15.5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 spans="1:13" s="4" customFormat="1" ht="15.5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spans="1:13" s="4" customFormat="1" ht="15.5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spans="1:13" s="4" customFormat="1" ht="15.5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spans="1:13" s="4" customFormat="1" ht="15.5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 spans="1:13" s="4" customFormat="1" ht="15.5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spans="1:13" s="4" customFormat="1" ht="15.5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 spans="1:13" s="4" customFormat="1" ht="15.5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 spans="1:13" s="4" customFormat="1" ht="15.5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 spans="1:13" s="4" customFormat="1" ht="15.5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 spans="1:13" s="4" customFormat="1" ht="15.5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 spans="1:13" s="4" customFormat="1" ht="15.5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spans="1:13" s="4" customFormat="1" ht="15.5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 spans="1:13" s="4" customFormat="1" ht="15.5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 spans="1:13" s="4" customFormat="1" ht="15.5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  <row r="387" spans="1:13" s="4" customFormat="1" ht="15.5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</row>
    <row r="388" spans="1:13" s="4" customFormat="1" ht="15.5" x14ac:dyDescent="0.3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</row>
    <row r="389" spans="1:13" s="4" customFormat="1" ht="15.5" x14ac:dyDescent="0.3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</row>
    <row r="390" spans="1:13" s="4" customFormat="1" ht="15.5" x14ac:dyDescent="0.3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</row>
    <row r="391" spans="1:13" s="4" customFormat="1" ht="15.5" x14ac:dyDescent="0.3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</row>
    <row r="392" spans="1:13" s="4" customFormat="1" ht="15.5" x14ac:dyDescent="0.3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</row>
    <row r="393" spans="1:13" s="4" customFormat="1" ht="15.5" x14ac:dyDescent="0.3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</row>
    <row r="394" spans="1:13" s="4" customFormat="1" ht="15.5" x14ac:dyDescent="0.3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</row>
    <row r="395" spans="1:13" s="4" customFormat="1" ht="15.5" x14ac:dyDescent="0.3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</row>
  </sheetData>
  <mergeCells count="30">
    <mergeCell ref="A34:B34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22:B22"/>
    <mergeCell ref="A11:C11"/>
    <mergeCell ref="D11:G11"/>
    <mergeCell ref="J11:K11"/>
    <mergeCell ref="D13:E13"/>
    <mergeCell ref="H13:I13"/>
    <mergeCell ref="H15:I15"/>
    <mergeCell ref="A17:E18"/>
    <mergeCell ref="G17:I17"/>
    <mergeCell ref="A19:B19"/>
    <mergeCell ref="A20:B20"/>
    <mergeCell ref="A21:B21"/>
    <mergeCell ref="A1:K3"/>
    <mergeCell ref="A7:D7"/>
    <mergeCell ref="E7:G7"/>
    <mergeCell ref="J7:K7"/>
    <mergeCell ref="H9:I9"/>
    <mergeCell ref="J9:K9"/>
  </mergeCells>
  <dataValidations count="2">
    <dataValidation type="list" allowBlank="1" showInputMessage="1" showErrorMessage="1" sqref="E7" xr:uid="{D6E995ED-D706-4D95-A8E0-2CC6656AA04C}">
      <formula1>secteur</formula1>
    </dataValidation>
    <dataValidation type="list" allowBlank="1" showInputMessage="1" showErrorMessage="1" sqref="J7:K7" xr:uid="{D14E5561-AA63-4F9C-990D-884C272E2AF8}">
      <formula1>mois_bon2</formula1>
    </dataValidation>
  </dataValidations>
  <pageMargins left="0.7" right="0.7" top="0.75" bottom="0.75" header="0.3" footer="0.3"/>
  <pageSetup paperSize="9" scale="65" orientation="landscape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650D-9C17-4580-B07B-65D13E231605}">
  <sheetPr codeName="Feuil27">
    <tabColor rgb="FF7030A0"/>
  </sheetPr>
  <dimension ref="A1:M395"/>
  <sheetViews>
    <sheetView showGridLines="0" topLeftCell="A10" workbookViewId="0">
      <selection activeCell="H50" activeCellId="1" sqref="F54 H50"/>
    </sheetView>
  </sheetViews>
  <sheetFormatPr baseColWidth="10" defaultRowHeight="17.5" x14ac:dyDescent="0.35"/>
  <cols>
    <col min="1" max="1" width="10.90625" style="8"/>
    <col min="2" max="2" width="11.81640625" style="8" customWidth="1"/>
    <col min="3" max="3" width="14.1796875" style="8" customWidth="1"/>
    <col min="4" max="5" width="10.90625" style="8"/>
    <col min="6" max="6" width="3.54296875" style="8" customWidth="1"/>
    <col min="7" max="8" width="10.90625" style="8"/>
    <col min="9" max="9" width="14.453125" style="8" customWidth="1"/>
    <col min="10" max="10" width="10.90625" style="8"/>
    <col min="11" max="11" width="15.26953125" style="8" bestFit="1" customWidth="1"/>
    <col min="12" max="13" width="10.90625" style="8"/>
  </cols>
  <sheetData>
    <row r="1" spans="1:13" ht="7.5" customHeight="1" x14ac:dyDescent="0.35">
      <c r="A1" s="269" t="s">
        <v>50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</row>
    <row r="2" spans="1:13" ht="13.5" customHeight="1" x14ac:dyDescent="0.35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</row>
    <row r="3" spans="1:13" ht="15" hidden="1" customHeight="1" x14ac:dyDescent="0.35">
      <c r="A3" s="269"/>
      <c r="B3" s="269"/>
      <c r="C3" s="269"/>
      <c r="D3" s="269"/>
      <c r="E3" s="269"/>
      <c r="F3" s="269"/>
      <c r="G3" s="269"/>
      <c r="H3" s="269"/>
      <c r="I3" s="269"/>
      <c r="J3" s="269"/>
      <c r="K3" s="269"/>
    </row>
    <row r="4" spans="1:13" ht="5.25" customHeight="1" x14ac:dyDescent="0.35"/>
    <row r="5" spans="1:13" ht="13.5" customHeight="1" x14ac:dyDescent="0.35">
      <c r="A5" s="34" t="s">
        <v>52</v>
      </c>
    </row>
    <row r="6" spans="1:13" ht="5.25" customHeight="1" thickBot="1" x14ac:dyDescent="0.4">
      <c r="A6" s="34"/>
    </row>
    <row r="7" spans="1:13" s="23" customFormat="1" ht="16.5" thickTop="1" thickBot="1" x14ac:dyDescent="0.4">
      <c r="A7" s="270" t="s">
        <v>44</v>
      </c>
      <c r="B7" s="270"/>
      <c r="C7" s="270"/>
      <c r="D7" s="270"/>
      <c r="E7" s="271" t="s">
        <v>30</v>
      </c>
      <c r="F7" s="272"/>
      <c r="G7" s="273"/>
      <c r="I7" s="36" t="s">
        <v>46</v>
      </c>
      <c r="J7" s="274" t="s">
        <v>241</v>
      </c>
      <c r="K7" s="275"/>
      <c r="M7" s="28"/>
    </row>
    <row r="8" spans="1:13" ht="5.25" customHeight="1" thickTop="1" thickBot="1" x14ac:dyDescent="0.4"/>
    <row r="9" spans="1:13" ht="18.5" thickTop="1" thickBot="1" x14ac:dyDescent="0.4">
      <c r="H9" s="267" t="s">
        <v>53</v>
      </c>
      <c r="I9" s="268"/>
      <c r="J9" s="276">
        <v>46275</v>
      </c>
      <c r="K9" s="277"/>
    </row>
    <row r="10" spans="1:13" ht="18.5" thickTop="1" thickBot="1" x14ac:dyDescent="0.4">
      <c r="J10" s="45"/>
      <c r="K10" s="37"/>
    </row>
    <row r="11" spans="1:13" s="3" customFormat="1" ht="16.5" thickTop="1" thickBot="1" x14ac:dyDescent="0.4">
      <c r="A11" s="270" t="s">
        <v>45</v>
      </c>
      <c r="B11" s="270"/>
      <c r="C11" s="270"/>
      <c r="D11" s="271" t="s">
        <v>205</v>
      </c>
      <c r="E11" s="272"/>
      <c r="F11" s="272"/>
      <c r="G11" s="273"/>
      <c r="H11" s="23"/>
      <c r="I11" s="31" t="s">
        <v>47</v>
      </c>
      <c r="J11" s="271"/>
      <c r="K11" s="273"/>
      <c r="L11" s="23"/>
      <c r="M11" s="23"/>
    </row>
    <row r="12" spans="1:13" s="4" customFormat="1" ht="16.5" thickTop="1" thickBot="1" x14ac:dyDescent="0.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s="25" customFormat="1" ht="16.5" thickTop="1" thickBot="1" x14ac:dyDescent="0.4">
      <c r="A13" s="52" t="s">
        <v>76</v>
      </c>
      <c r="B13" s="46"/>
      <c r="C13" s="35">
        <v>3700000</v>
      </c>
      <c r="D13" s="267" t="s">
        <v>49</v>
      </c>
      <c r="E13" s="267"/>
      <c r="F13" s="32">
        <v>12</v>
      </c>
      <c r="G13" s="30" t="s">
        <v>48</v>
      </c>
      <c r="H13" s="278" t="s">
        <v>57</v>
      </c>
      <c r="I13" s="279"/>
      <c r="J13" s="33">
        <f>IF(C13&lt;1000000,F13*1.5%,F13%)</f>
        <v>0.12</v>
      </c>
      <c r="K13" s="24"/>
      <c r="L13" s="24"/>
      <c r="M13" s="24"/>
    </row>
    <row r="14" spans="1:13" s="4" customFormat="1" ht="16.5" thickTop="1" thickBot="1" x14ac:dyDescent="0.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s="3" customFormat="1" ht="16.5" thickTop="1" thickBot="1" x14ac:dyDescent="0.4">
      <c r="A15" s="23"/>
      <c r="B15" s="23"/>
      <c r="C15" s="23"/>
      <c r="D15" s="23"/>
      <c r="E15" s="23"/>
      <c r="F15" s="23"/>
      <c r="G15" s="23"/>
      <c r="H15" s="267" t="s">
        <v>26</v>
      </c>
      <c r="I15" s="268"/>
      <c r="J15" s="27">
        <f>C13*J13</f>
        <v>444000</v>
      </c>
      <c r="K15" s="23"/>
      <c r="L15" s="23"/>
      <c r="M15" s="23"/>
    </row>
    <row r="16" spans="1:13" s="4" customFormat="1" ht="16.5" thickTop="1" thickBot="1" x14ac:dyDescent="0.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s="4" customFormat="1" ht="18.75" customHeight="1" thickTop="1" thickBot="1" x14ac:dyDescent="0.4">
      <c r="A17" s="280" t="s">
        <v>51</v>
      </c>
      <c r="B17" s="280"/>
      <c r="C17" s="280"/>
      <c r="D17" s="280"/>
      <c r="E17" s="280"/>
      <c r="F17" s="15"/>
      <c r="G17" s="282" t="s">
        <v>73</v>
      </c>
      <c r="H17" s="282"/>
      <c r="I17" s="283"/>
      <c r="J17" s="51">
        <f>C13+J15</f>
        <v>4144000</v>
      </c>
      <c r="K17" s="15"/>
      <c r="L17" s="15"/>
      <c r="M17" s="15"/>
    </row>
    <row r="18" spans="1:13" s="4" customFormat="1" ht="13.5" customHeight="1" thickTop="1" thickBot="1" x14ac:dyDescent="0.4">
      <c r="A18" s="281"/>
      <c r="B18" s="281"/>
      <c r="C18" s="281"/>
      <c r="D18" s="281"/>
      <c r="E18" s="281"/>
      <c r="F18" s="15"/>
      <c r="G18" s="15"/>
      <c r="H18" s="15"/>
      <c r="I18" s="15"/>
      <c r="J18" s="15"/>
      <c r="K18" s="15"/>
      <c r="L18" s="15"/>
      <c r="M18" s="15"/>
    </row>
    <row r="19" spans="1:13" s="4" customFormat="1" ht="42.75" customHeight="1" thickTop="1" thickBot="1" x14ac:dyDescent="0.45">
      <c r="A19" s="284" t="s">
        <v>196</v>
      </c>
      <c r="B19" s="285"/>
      <c r="C19" s="38" t="s">
        <v>54</v>
      </c>
      <c r="D19" s="39" t="s">
        <v>55</v>
      </c>
      <c r="E19" s="40" t="s">
        <v>56</v>
      </c>
      <c r="F19" s="15"/>
      <c r="G19" s="26"/>
      <c r="H19" s="15"/>
      <c r="I19" s="15"/>
      <c r="J19" s="15"/>
      <c r="K19" s="15"/>
      <c r="L19" s="15"/>
      <c r="M19" s="15"/>
    </row>
    <row r="20" spans="1:13" s="4" customFormat="1" ht="16" thickBot="1" x14ac:dyDescent="0.4">
      <c r="A20" s="286">
        <v>45870</v>
      </c>
      <c r="B20" s="287"/>
      <c r="C20" s="41"/>
      <c r="D20" s="44"/>
      <c r="E20" s="43">
        <f t="shared" ref="E20:E33" si="0">C20-D20</f>
        <v>0</v>
      </c>
      <c r="F20" s="15"/>
      <c r="G20" s="15"/>
      <c r="H20" s="15"/>
      <c r="I20" s="15"/>
      <c r="J20" s="15"/>
      <c r="K20" s="15"/>
      <c r="L20" s="15"/>
      <c r="M20" s="15"/>
    </row>
    <row r="21" spans="1:13" s="4" customFormat="1" ht="16" thickBot="1" x14ac:dyDescent="0.4">
      <c r="A21" s="286">
        <v>45901</v>
      </c>
      <c r="B21" s="287"/>
      <c r="C21" s="41"/>
      <c r="D21" s="44"/>
      <c r="E21" s="43">
        <f t="shared" si="0"/>
        <v>0</v>
      </c>
      <c r="F21" s="15"/>
      <c r="G21" s="15"/>
      <c r="H21" s="15"/>
      <c r="I21" s="15"/>
      <c r="J21" s="15"/>
      <c r="K21" s="15"/>
      <c r="L21" s="15"/>
      <c r="M21" s="15"/>
    </row>
    <row r="22" spans="1:13" s="4" customFormat="1" ht="16" thickBot="1" x14ac:dyDescent="0.4">
      <c r="A22" s="286">
        <v>45931</v>
      </c>
      <c r="B22" s="287"/>
      <c r="C22" s="41">
        <f t="shared" ref="C22:C32" si="1">J$17/F$13</f>
        <v>345333.33333333331</v>
      </c>
      <c r="D22" s="44"/>
      <c r="E22" s="43">
        <f t="shared" ref="E22:E32" si="2">C22-D22</f>
        <v>345333.33333333331</v>
      </c>
      <c r="F22" s="15"/>
      <c r="G22" s="15"/>
      <c r="H22" s="15"/>
      <c r="I22" s="15"/>
      <c r="J22" s="15"/>
      <c r="K22" s="15"/>
      <c r="L22" s="15"/>
      <c r="M22" s="15"/>
    </row>
    <row r="23" spans="1:13" s="4" customFormat="1" ht="16" thickBot="1" x14ac:dyDescent="0.4">
      <c r="A23" s="286">
        <v>45962</v>
      </c>
      <c r="B23" s="287"/>
      <c r="C23" s="41">
        <f t="shared" si="1"/>
        <v>345333.33333333331</v>
      </c>
      <c r="D23" s="44"/>
      <c r="E23" s="43">
        <f t="shared" si="2"/>
        <v>345333.33333333331</v>
      </c>
      <c r="F23" s="15"/>
      <c r="G23" s="15"/>
      <c r="H23" s="15"/>
      <c r="I23" s="15"/>
      <c r="J23" s="15"/>
      <c r="K23" s="15"/>
      <c r="L23" s="15"/>
      <c r="M23" s="15"/>
    </row>
    <row r="24" spans="1:13" s="4" customFormat="1" ht="16" thickBot="1" x14ac:dyDescent="0.4">
      <c r="A24" s="286">
        <v>45992</v>
      </c>
      <c r="B24" s="287"/>
      <c r="C24" s="41">
        <f t="shared" si="1"/>
        <v>345333.33333333331</v>
      </c>
      <c r="D24" s="44"/>
      <c r="E24" s="43">
        <f t="shared" si="2"/>
        <v>345333.33333333331</v>
      </c>
      <c r="F24" s="15"/>
      <c r="G24" s="15"/>
      <c r="H24" s="15"/>
      <c r="I24" s="15"/>
      <c r="J24" s="15"/>
      <c r="K24" s="15"/>
      <c r="L24" s="15"/>
      <c r="M24" s="15"/>
    </row>
    <row r="25" spans="1:13" s="4" customFormat="1" ht="16" thickBot="1" x14ac:dyDescent="0.4">
      <c r="A25" s="286">
        <v>46023</v>
      </c>
      <c r="B25" s="287"/>
      <c r="C25" s="41">
        <f t="shared" si="1"/>
        <v>345333.33333333331</v>
      </c>
      <c r="D25" s="44"/>
      <c r="E25" s="43">
        <f t="shared" si="2"/>
        <v>345333.33333333331</v>
      </c>
      <c r="F25" s="15"/>
      <c r="G25" s="15"/>
      <c r="H25" s="15"/>
      <c r="I25" s="15"/>
      <c r="J25" s="15"/>
      <c r="K25" s="15"/>
      <c r="L25" s="15"/>
      <c r="M25" s="15"/>
    </row>
    <row r="26" spans="1:13" s="4" customFormat="1" ht="16" thickBot="1" x14ac:dyDescent="0.4">
      <c r="A26" s="286">
        <v>46054</v>
      </c>
      <c r="B26" s="287"/>
      <c r="C26" s="41">
        <f t="shared" si="1"/>
        <v>345333.33333333331</v>
      </c>
      <c r="D26" s="44"/>
      <c r="E26" s="43">
        <f t="shared" si="2"/>
        <v>345333.33333333331</v>
      </c>
      <c r="F26" s="15"/>
      <c r="G26" s="15"/>
      <c r="H26" s="15"/>
      <c r="I26" s="15"/>
      <c r="J26" s="15"/>
      <c r="K26" s="15"/>
      <c r="L26" s="15"/>
      <c r="M26" s="15"/>
    </row>
    <row r="27" spans="1:13" s="4" customFormat="1" ht="16" thickBot="1" x14ac:dyDescent="0.4">
      <c r="A27" s="286">
        <v>46082</v>
      </c>
      <c r="B27" s="287"/>
      <c r="C27" s="41">
        <f t="shared" si="1"/>
        <v>345333.33333333331</v>
      </c>
      <c r="D27" s="44"/>
      <c r="E27" s="43">
        <f t="shared" si="2"/>
        <v>345333.33333333331</v>
      </c>
      <c r="F27" s="15"/>
      <c r="G27" s="15"/>
      <c r="H27" s="15"/>
      <c r="I27" s="15"/>
      <c r="J27" s="15"/>
      <c r="K27" s="15"/>
      <c r="L27" s="15"/>
      <c r="M27" s="15"/>
    </row>
    <row r="28" spans="1:13" s="4" customFormat="1" ht="16" thickBot="1" x14ac:dyDescent="0.4">
      <c r="A28" s="286">
        <v>46113</v>
      </c>
      <c r="B28" s="287"/>
      <c r="C28" s="41">
        <f t="shared" si="1"/>
        <v>345333.33333333331</v>
      </c>
      <c r="D28" s="44"/>
      <c r="E28" s="43">
        <f t="shared" si="2"/>
        <v>345333.33333333331</v>
      </c>
      <c r="F28" s="15"/>
      <c r="G28" s="15"/>
      <c r="H28" s="15"/>
      <c r="I28" s="15"/>
      <c r="J28" s="15"/>
      <c r="K28" s="15"/>
      <c r="L28" s="15"/>
      <c r="M28" s="15"/>
    </row>
    <row r="29" spans="1:13" s="4" customFormat="1" ht="16" thickBot="1" x14ac:dyDescent="0.4">
      <c r="A29" s="286">
        <v>46143</v>
      </c>
      <c r="B29" s="287"/>
      <c r="C29" s="41">
        <f t="shared" si="1"/>
        <v>345333.33333333331</v>
      </c>
      <c r="D29" s="44"/>
      <c r="E29" s="43">
        <f t="shared" si="2"/>
        <v>345333.33333333331</v>
      </c>
      <c r="F29" s="15"/>
      <c r="G29" s="15"/>
      <c r="H29" s="15"/>
      <c r="I29" s="15"/>
      <c r="J29" s="15"/>
      <c r="K29" s="15"/>
      <c r="L29" s="15"/>
      <c r="M29" s="15"/>
    </row>
    <row r="30" spans="1:13" s="4" customFormat="1" ht="16" thickBot="1" x14ac:dyDescent="0.4">
      <c r="A30" s="286">
        <v>46174</v>
      </c>
      <c r="B30" s="287"/>
      <c r="C30" s="41">
        <f t="shared" si="1"/>
        <v>345333.33333333331</v>
      </c>
      <c r="D30" s="44"/>
      <c r="E30" s="43">
        <f t="shared" si="2"/>
        <v>345333.33333333331</v>
      </c>
      <c r="F30" s="15"/>
      <c r="G30" s="15"/>
      <c r="H30" s="15"/>
      <c r="I30" s="15"/>
      <c r="J30" s="15"/>
      <c r="K30" s="15"/>
      <c r="L30" s="15"/>
      <c r="M30" s="15"/>
    </row>
    <row r="31" spans="1:13" s="4" customFormat="1" ht="16" thickBot="1" x14ac:dyDescent="0.4">
      <c r="A31" s="286">
        <v>46204</v>
      </c>
      <c r="B31" s="287"/>
      <c r="C31" s="41">
        <f t="shared" si="1"/>
        <v>345333.33333333331</v>
      </c>
      <c r="D31" s="44"/>
      <c r="E31" s="43">
        <f t="shared" si="2"/>
        <v>345333.33333333331</v>
      </c>
      <c r="F31" s="15"/>
      <c r="G31" s="15"/>
      <c r="H31" s="15"/>
      <c r="I31" s="15"/>
      <c r="J31" s="15"/>
      <c r="K31" s="15"/>
      <c r="L31" s="15"/>
      <c r="M31" s="15"/>
    </row>
    <row r="32" spans="1:13" s="4" customFormat="1" ht="16" thickBot="1" x14ac:dyDescent="0.4">
      <c r="A32" s="286">
        <v>46235</v>
      </c>
      <c r="B32" s="287"/>
      <c r="C32" s="41">
        <f t="shared" si="1"/>
        <v>345333.33333333331</v>
      </c>
      <c r="D32" s="44"/>
      <c r="E32" s="43">
        <f t="shared" si="2"/>
        <v>345333.33333333331</v>
      </c>
      <c r="F32" s="15"/>
      <c r="G32" s="15"/>
      <c r="H32" s="15"/>
      <c r="I32" s="15"/>
      <c r="J32" s="15"/>
      <c r="K32" s="15"/>
      <c r="L32" s="15"/>
      <c r="M32" s="15"/>
    </row>
    <row r="33" spans="1:13" s="4" customFormat="1" ht="16" thickBot="1" x14ac:dyDescent="0.4">
      <c r="A33" s="286">
        <v>46266</v>
      </c>
      <c r="B33" s="287"/>
      <c r="C33" s="41">
        <f t="shared" ref="C33" si="3">J$17/F$13</f>
        <v>345333.33333333331</v>
      </c>
      <c r="D33" s="44"/>
      <c r="E33" s="43">
        <f t="shared" si="0"/>
        <v>345333.33333333331</v>
      </c>
      <c r="F33" s="15"/>
      <c r="G33" s="15"/>
      <c r="H33" s="15"/>
      <c r="I33" s="15"/>
      <c r="J33" s="15"/>
      <c r="K33" s="15"/>
      <c r="L33" s="15"/>
      <c r="M33" s="15"/>
    </row>
    <row r="34" spans="1:13" s="3" customFormat="1" ht="20.25" customHeight="1" thickBot="1" x14ac:dyDescent="0.4">
      <c r="A34" s="288" t="s">
        <v>43</v>
      </c>
      <c r="B34" s="289"/>
      <c r="C34" s="29">
        <f>SUM(C20:C33)</f>
        <v>4144000.0000000005</v>
      </c>
      <c r="D34" s="29">
        <f>SUM(D20:D32)</f>
        <v>0</v>
      </c>
      <c r="E34" s="29">
        <f>SUM(E20:E33)</f>
        <v>4144000.0000000005</v>
      </c>
      <c r="F34" s="23"/>
      <c r="G34" s="23"/>
      <c r="H34" s="23"/>
      <c r="I34" s="23"/>
      <c r="J34" s="23"/>
      <c r="K34" s="23"/>
      <c r="L34" s="23"/>
      <c r="M34" s="23"/>
    </row>
    <row r="35" spans="1:13" s="4" customFormat="1" ht="16" thickTop="1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 s="4" customFormat="1" ht="15.5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s="4" customFormat="1" ht="15.5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s="4" customFormat="1" ht="15.5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s="4" customFormat="1" ht="15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s="4" customFormat="1" ht="15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s="4" customFormat="1" ht="15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s="4" customFormat="1" ht="15.5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 s="4" customFormat="1" ht="15.5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s="4" customFormat="1" ht="15.5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s="4" customFormat="1" ht="15.5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s="4" customFormat="1" ht="15.5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s="4" customFormat="1" ht="15.5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s="4" customFormat="1" ht="15.5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s="4" customFormat="1" ht="15.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s="4" customFormat="1" ht="15.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s="4" customFormat="1" ht="15.5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s="4" customFormat="1" ht="15.5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s="4" customFormat="1" ht="15.5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s="4" customFormat="1" ht="15.5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s="4" customFormat="1" ht="15.5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 s="4" customFormat="1" ht="15.5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s="4" customFormat="1" ht="15.5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 s="4" customFormat="1" ht="15.5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s="4" customFormat="1" ht="15.5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s="4" customFormat="1" ht="15.5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s="4" customFormat="1" ht="15.5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 s="4" customFormat="1" ht="15.5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s="4" customFormat="1" ht="15.5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 s="4" customFormat="1" ht="15.5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s="4" customFormat="1" ht="15.5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s="4" customFormat="1" ht="15.5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s="4" customFormat="1" ht="15.5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s="4" customFormat="1" ht="15.5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s="4" customFormat="1" ht="15.5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s="4" customFormat="1" ht="15.5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s="4" customFormat="1" ht="15.5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s="4" customFormat="1" ht="15.5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s="4" customFormat="1" ht="15.5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s="4" customFormat="1" ht="15.5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 s="4" customFormat="1" ht="15.5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s="4" customFormat="1" ht="15.5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s="4" customFormat="1" ht="15.5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 s="4" customFormat="1" ht="15.5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s="4" customFormat="1" ht="15.5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s="4" customFormat="1" ht="15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s="4" customFormat="1" ht="15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s="4" customFormat="1" ht="15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 s="4" customFormat="1" ht="15.5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s="4" customFormat="1" ht="15.5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1:13" s="4" customFormat="1" ht="15.5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1:13" s="4" customFormat="1" ht="15.5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 s="4" customFormat="1" ht="15.5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 s="4" customFormat="1" ht="15.5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s="4" customFormat="1" ht="15.5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 s="4" customFormat="1" ht="15.5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 s="4" customFormat="1" ht="15.5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 s="4" customFormat="1" ht="15.5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 s="4" customFormat="1" ht="15.5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1:13" s="4" customFormat="1" ht="15.5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s="4" customFormat="1" ht="15.5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 s="4" customFormat="1" ht="15.5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s="4" customFormat="1" ht="15.5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s="4" customFormat="1" ht="15.5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1:13" s="4" customFormat="1" ht="15.5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 s="4" customFormat="1" ht="15.5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s="4" customFormat="1" ht="15.5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1:13" s="4" customFormat="1" ht="15.5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s="4" customFormat="1" ht="15.5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s="4" customFormat="1" ht="15.5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1:13" s="4" customFormat="1" ht="15.5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1:13" s="4" customFormat="1" ht="15.5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1:13" s="4" customFormat="1" ht="15.5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 s="4" customFormat="1" ht="15.5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1:13" s="4" customFormat="1" ht="15.5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s="4" customFormat="1" ht="15.5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1:13" s="4" customFormat="1" ht="15.5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 s="4" customFormat="1" ht="15.5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1:13" s="4" customFormat="1" ht="15.5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 s="4" customFormat="1" ht="15.5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 s="4" customFormat="1" ht="15.5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 s="4" customFormat="1" ht="15.5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 s="4" customFormat="1" ht="15.5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 s="4" customFormat="1" ht="15.5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 s="4" customFormat="1" ht="15.5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 s="4" customFormat="1" ht="15.5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 s="4" customFormat="1" ht="15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1:13" s="4" customFormat="1" ht="15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1:13" s="4" customFormat="1" ht="15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1:13" s="4" customFormat="1" ht="15.5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1:13" s="4" customFormat="1" ht="15.5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1:13" s="4" customFormat="1" ht="15.5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 s="4" customFormat="1" ht="15.5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1:13" s="4" customFormat="1" ht="15.5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s="4" customFormat="1" ht="15.5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3" s="4" customFormat="1" ht="15.5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1:13" s="4" customFormat="1" ht="15.5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 s="4" customFormat="1" ht="15.5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 s="4" customFormat="1" ht="15.5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 s="4" customFormat="1" ht="15.5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 s="4" customFormat="1" ht="15.5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 s="4" customFormat="1" ht="15.5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1:13" s="4" customFormat="1" ht="15.5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1:13" s="4" customFormat="1" ht="15.5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1:13" s="4" customFormat="1" ht="15.5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 s="4" customFormat="1" ht="15.5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1:13" s="4" customFormat="1" ht="15.5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 s="4" customFormat="1" ht="15.5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 s="4" customFormat="1" ht="15.5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1:13" s="4" customFormat="1" ht="15.5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1:13" s="4" customFormat="1" ht="15.5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 s="4" customFormat="1" ht="15.5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1:13" s="4" customFormat="1" ht="15.5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 s="4" customFormat="1" ht="15.5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1:13" s="4" customFormat="1" ht="15.5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1:13" s="4" customFormat="1" ht="15.5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 s="4" customFormat="1" ht="15.5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 s="4" customFormat="1" ht="15.5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s="4" customFormat="1" ht="15.5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 s="4" customFormat="1" ht="15.5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1:13" s="4" customFormat="1" ht="15.5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 s="4" customFormat="1" ht="15.5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spans="1:13" s="4" customFormat="1" ht="15.5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spans="1:13" s="4" customFormat="1" ht="15.5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spans="1:13" s="4" customFormat="1" ht="15.5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1:13" s="4" customFormat="1" ht="15.5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1:13" s="4" customFormat="1" ht="15.5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1:13" s="4" customFormat="1" ht="15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1:13" s="4" customFormat="1" ht="15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1:13" s="4" customFormat="1" ht="15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spans="1:13" s="4" customFormat="1" ht="15.5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1:13" s="4" customFormat="1" ht="15.5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1:13" s="4" customFormat="1" ht="15.5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spans="1:13" s="4" customFormat="1" ht="15.5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spans="1:13" s="4" customFormat="1" ht="15.5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spans="1:13" s="4" customFormat="1" ht="15.5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spans="1:13" s="4" customFormat="1" ht="15.5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spans="1:13" s="4" customFormat="1" ht="15.5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spans="1:13" s="4" customFormat="1" ht="15.5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spans="1:13" s="4" customFormat="1" ht="15.5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spans="1:13" s="4" customFormat="1" ht="15.5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spans="1:13" s="4" customFormat="1" ht="15.5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spans="1:13" s="4" customFormat="1" ht="15.5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1:13" s="4" customFormat="1" ht="15.5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spans="1:13" s="4" customFormat="1" ht="15.5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1:13" s="4" customFormat="1" ht="15.5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spans="1:13" s="4" customFormat="1" ht="15.5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1:13" s="4" customFormat="1" ht="15.5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spans="1:13" s="4" customFormat="1" ht="15.5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1:13" s="4" customFormat="1" ht="15.5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spans="1:13" s="4" customFormat="1" ht="15.5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spans="1:13" s="4" customFormat="1" ht="15.5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spans="1:13" s="4" customFormat="1" ht="15.5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1:13" s="4" customFormat="1" ht="15.5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spans="1:13" s="4" customFormat="1" ht="15.5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1:13" s="4" customFormat="1" ht="15.5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spans="1:13" s="4" customFormat="1" ht="15.5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spans="1:13" s="4" customFormat="1" ht="15.5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spans="1:13" s="4" customFormat="1" ht="15.5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spans="1:13" s="4" customFormat="1" ht="15.5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spans="1:13" s="4" customFormat="1" ht="15.5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1:13" s="4" customFormat="1" ht="15.5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spans="1:13" s="4" customFormat="1" ht="15.5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spans="1:13" s="4" customFormat="1" ht="15.5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1:13" s="4" customFormat="1" ht="15.5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1:13" s="4" customFormat="1" ht="15.5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1:13" s="4" customFormat="1" ht="15.5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spans="1:13" s="4" customFormat="1" ht="15.5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spans="1:13" s="4" customFormat="1" ht="15.5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  <row r="204" spans="1:13" s="4" customFormat="1" ht="15.5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</row>
    <row r="205" spans="1:13" s="4" customFormat="1" ht="15.5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</row>
    <row r="206" spans="1:13" s="4" customFormat="1" ht="15.5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1:13" s="4" customFormat="1" ht="15.5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spans="1:13" s="4" customFormat="1" ht="15.5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1:13" s="4" customFormat="1" ht="15.5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</row>
    <row r="210" spans="1:13" s="4" customFormat="1" ht="15.5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</row>
    <row r="211" spans="1:13" s="4" customFormat="1" ht="15.5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</row>
    <row r="212" spans="1:13" s="4" customFormat="1" ht="15.5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spans="1:13" s="4" customFormat="1" ht="15.5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</row>
    <row r="214" spans="1:13" s="4" customFormat="1" ht="15.5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spans="1:13" s="4" customFormat="1" ht="15.5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spans="1:13" s="4" customFormat="1" ht="15.5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spans="1:13" s="4" customFormat="1" ht="15.5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spans="1:13" s="4" customFormat="1" ht="15.5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spans="1:13" s="4" customFormat="1" ht="15.5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spans="1:13" s="4" customFormat="1" ht="15.5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spans="1:13" s="4" customFormat="1" ht="15.5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spans="1:13" s="4" customFormat="1" ht="15.5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spans="1:13" s="4" customFormat="1" ht="15.5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spans="1:13" s="4" customFormat="1" ht="15.5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5" spans="1:13" s="4" customFormat="1" ht="15.5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spans="1:13" s="4" customFormat="1" ht="15.5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27" spans="1:13" s="4" customFormat="1" ht="15.5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spans="1:13" s="4" customFormat="1" ht="15.5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spans="1:13" s="4" customFormat="1" ht="15.5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spans="1:13" s="4" customFormat="1" ht="15.5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</row>
    <row r="231" spans="1:13" s="4" customFormat="1" ht="15.5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</row>
    <row r="232" spans="1:13" s="4" customFormat="1" ht="15.5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</row>
    <row r="233" spans="1:13" s="4" customFormat="1" ht="15.5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</row>
    <row r="234" spans="1:13" s="4" customFormat="1" ht="15.5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spans="1:13" s="4" customFormat="1" ht="15.5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</row>
    <row r="236" spans="1:13" s="4" customFormat="1" ht="15.5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spans="1:13" s="4" customFormat="1" ht="15.5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</row>
    <row r="238" spans="1:13" s="4" customFormat="1" ht="15.5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spans="1:13" s="4" customFormat="1" ht="15.5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</row>
    <row r="240" spans="1:13" s="4" customFormat="1" ht="15.5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spans="1:13" s="4" customFormat="1" ht="15.5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</row>
    <row r="242" spans="1:13" s="4" customFormat="1" ht="15.5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3" spans="1:13" s="4" customFormat="1" ht="15.5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</row>
    <row r="244" spans="1:13" s="4" customFormat="1" ht="15.5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1:13" s="4" customFormat="1" ht="15.5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spans="1:13" s="4" customFormat="1" ht="15.5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spans="1:13" s="4" customFormat="1" ht="15.5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spans="1:13" s="4" customFormat="1" ht="15.5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spans="1:13" s="4" customFormat="1" ht="15.5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spans="1:13" s="4" customFormat="1" ht="15.5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</row>
    <row r="251" spans="1:13" s="4" customFormat="1" ht="15.5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spans="1:13" s="4" customFormat="1" ht="15.5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spans="1:13" s="4" customFormat="1" ht="15.5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</row>
    <row r="254" spans="1:13" s="4" customFormat="1" ht="15.5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spans="1:13" s="4" customFormat="1" ht="15.5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</row>
    <row r="256" spans="1:13" s="4" customFormat="1" ht="15.5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</row>
    <row r="257" spans="1:13" s="4" customFormat="1" ht="15.5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spans="1:13" s="4" customFormat="1" ht="15.5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</row>
    <row r="259" spans="1:13" s="4" customFormat="1" ht="15.5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spans="1:13" s="4" customFormat="1" ht="15.5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spans="1:13" s="4" customFormat="1" ht="15.5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spans="1:13" s="4" customFormat="1" ht="15.5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spans="1:13" s="4" customFormat="1" ht="15.5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spans="1:13" s="4" customFormat="1" ht="15.5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spans="1:13" s="4" customFormat="1" ht="15.5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spans="1:13" s="4" customFormat="1" ht="15.5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spans="1:13" s="4" customFormat="1" ht="15.5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</row>
    <row r="268" spans="1:13" s="4" customFormat="1" ht="15.5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spans="1:13" s="4" customFormat="1" ht="15.5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</row>
    <row r="270" spans="1:13" s="4" customFormat="1" ht="15.5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</row>
    <row r="271" spans="1:13" s="4" customFormat="1" ht="15.5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</row>
    <row r="272" spans="1:13" s="4" customFormat="1" ht="15.5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spans="1:13" s="4" customFormat="1" ht="15.5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spans="1:13" s="4" customFormat="1" ht="15.5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</row>
    <row r="275" spans="1:13" s="4" customFormat="1" ht="15.5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</row>
    <row r="276" spans="1:13" s="4" customFormat="1" ht="15.5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spans="1:13" s="4" customFormat="1" ht="15.5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 spans="1:13" s="4" customFormat="1" ht="15.5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 spans="1:13" s="4" customFormat="1" ht="15.5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 spans="1:13" s="4" customFormat="1" ht="15.5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spans="1:13" s="4" customFormat="1" ht="15.5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 spans="1:13" s="4" customFormat="1" ht="15.5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spans="1:13" s="4" customFormat="1" ht="15.5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spans="1:13" s="4" customFormat="1" ht="15.5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spans="1:13" s="4" customFormat="1" ht="15.5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spans="1:13" s="4" customFormat="1" ht="15.5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 spans="1:13" s="4" customFormat="1" ht="15.5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 spans="1:13" s="4" customFormat="1" ht="15.5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 spans="1:13" s="4" customFormat="1" ht="15.5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spans="1:13" s="4" customFormat="1" ht="15.5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 spans="1:13" s="4" customFormat="1" ht="15.5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 spans="1:13" s="4" customFormat="1" ht="15.5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 spans="1:13" s="4" customFormat="1" ht="15.5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spans="1:13" s="4" customFormat="1" ht="15.5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 spans="1:13" s="4" customFormat="1" ht="15.5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spans="1:13" s="4" customFormat="1" ht="15.5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 spans="1:13" s="4" customFormat="1" ht="15.5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spans="1:13" s="4" customFormat="1" ht="15.5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 spans="1:13" s="4" customFormat="1" ht="15.5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 spans="1:13" s="4" customFormat="1" ht="15.5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 spans="1:13" s="4" customFormat="1" ht="15.5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spans="1:13" s="4" customFormat="1" ht="15.5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spans="1:13" s="4" customFormat="1" ht="15.5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spans="1:13" s="4" customFormat="1" ht="15.5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 spans="1:13" s="4" customFormat="1" ht="15.5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 spans="1:13" s="4" customFormat="1" ht="15.5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 spans="1:13" s="4" customFormat="1" ht="15.5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 spans="1:13" s="4" customFormat="1" ht="15.5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 spans="1:13" s="4" customFormat="1" ht="15.5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spans="1:13" s="4" customFormat="1" ht="15.5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 spans="1:13" s="4" customFormat="1" ht="15.5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 spans="1:13" s="4" customFormat="1" ht="15.5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 spans="1:13" s="4" customFormat="1" ht="15.5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 spans="1:13" s="4" customFormat="1" ht="15.5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spans="1:13" s="4" customFormat="1" ht="15.5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 spans="1:13" s="4" customFormat="1" ht="15.5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 spans="1:13" s="4" customFormat="1" ht="15.5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 spans="1:13" s="4" customFormat="1" ht="15.5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 spans="1:13" s="4" customFormat="1" ht="15.5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 spans="1:13" s="4" customFormat="1" ht="15.5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spans="1:13" s="4" customFormat="1" ht="15.5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spans="1:13" s="4" customFormat="1" ht="15.5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spans="1:13" s="4" customFormat="1" ht="15.5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 spans="1:13" s="4" customFormat="1" ht="15.5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 spans="1:13" s="4" customFormat="1" ht="15.5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spans="1:13" s="4" customFormat="1" ht="15.5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 spans="1:13" s="4" customFormat="1" ht="15.5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 spans="1:13" s="4" customFormat="1" ht="15.5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spans="1:13" s="4" customFormat="1" ht="15.5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 spans="1:13" s="4" customFormat="1" ht="15.5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 spans="1:13" s="4" customFormat="1" ht="15.5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 spans="1:13" s="4" customFormat="1" ht="15.5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spans="1:13" s="4" customFormat="1" ht="15.5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 spans="1:13" s="4" customFormat="1" ht="15.5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spans="1:13" s="4" customFormat="1" ht="15.5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 spans="1:13" s="4" customFormat="1" ht="15.5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spans="1:13" s="4" customFormat="1" ht="15.5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 spans="1:13" s="4" customFormat="1" ht="15.5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 spans="1:13" s="4" customFormat="1" ht="15.5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spans="1:13" s="4" customFormat="1" ht="15.5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spans="1:13" s="4" customFormat="1" ht="15.5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spans="1:13" s="4" customFormat="1" ht="15.5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spans="1:13" s="4" customFormat="1" ht="15.5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 spans="1:13" s="4" customFormat="1" ht="15.5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 spans="1:13" s="4" customFormat="1" ht="15.5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spans="1:13" s="4" customFormat="1" ht="15.5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 spans="1:13" s="4" customFormat="1" ht="15.5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 spans="1:13" s="4" customFormat="1" ht="15.5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 spans="1:13" s="4" customFormat="1" ht="15.5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 spans="1:13" s="4" customFormat="1" ht="15.5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spans="1:13" s="4" customFormat="1" ht="15.5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 spans="1:13" s="4" customFormat="1" ht="15.5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 spans="1:13" s="4" customFormat="1" ht="15.5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 spans="1:13" s="4" customFormat="1" ht="15.5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 spans="1:13" s="4" customFormat="1" ht="15.5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 spans="1:13" s="4" customFormat="1" ht="15.5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 spans="1:13" s="4" customFormat="1" ht="15.5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 spans="1:13" s="4" customFormat="1" ht="15.5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spans="1:13" s="4" customFormat="1" ht="15.5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spans="1:13" s="4" customFormat="1" ht="15.5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spans="1:13" s="4" customFormat="1" ht="15.5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 spans="1:13" s="4" customFormat="1" ht="15.5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spans="1:13" s="4" customFormat="1" ht="15.5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 spans="1:13" s="4" customFormat="1" ht="15.5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 spans="1:13" s="4" customFormat="1" ht="15.5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 spans="1:13" s="4" customFormat="1" ht="15.5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 spans="1:13" s="4" customFormat="1" ht="15.5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 spans="1:13" s="4" customFormat="1" ht="15.5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 spans="1:13" s="4" customFormat="1" ht="15.5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 spans="1:13" s="4" customFormat="1" ht="15.5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spans="1:13" s="4" customFormat="1" ht="15.5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 spans="1:13" s="4" customFormat="1" ht="15.5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 spans="1:13" s="4" customFormat="1" ht="15.5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spans="1:13" s="4" customFormat="1" ht="15.5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spans="1:13" s="4" customFormat="1" ht="15.5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spans="1:13" s="4" customFormat="1" ht="15.5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 spans="1:13" s="4" customFormat="1" ht="15.5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spans="1:13" s="4" customFormat="1" ht="15.5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 spans="1:13" s="4" customFormat="1" ht="15.5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 spans="1:13" s="4" customFormat="1" ht="15.5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 spans="1:13" s="4" customFormat="1" ht="15.5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 spans="1:13" s="4" customFormat="1" ht="15.5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 spans="1:13" s="4" customFormat="1" ht="15.5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spans="1:13" s="4" customFormat="1" ht="15.5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 spans="1:13" s="4" customFormat="1" ht="15.5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 spans="1:13" s="4" customFormat="1" ht="15.5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  <row r="387" spans="1:13" s="4" customFormat="1" ht="15.5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</row>
    <row r="388" spans="1:13" s="4" customFormat="1" ht="15.5" x14ac:dyDescent="0.3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</row>
    <row r="389" spans="1:13" s="4" customFormat="1" ht="15.5" x14ac:dyDescent="0.3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</row>
    <row r="390" spans="1:13" s="4" customFormat="1" ht="15.5" x14ac:dyDescent="0.3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</row>
    <row r="391" spans="1:13" s="4" customFormat="1" ht="15.5" x14ac:dyDescent="0.3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</row>
    <row r="392" spans="1:13" s="4" customFormat="1" ht="15.5" x14ac:dyDescent="0.3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</row>
    <row r="393" spans="1:13" s="4" customFormat="1" ht="15.5" x14ac:dyDescent="0.3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</row>
    <row r="394" spans="1:13" s="4" customFormat="1" ht="15.5" x14ac:dyDescent="0.3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</row>
    <row r="395" spans="1:13" s="4" customFormat="1" ht="15.5" x14ac:dyDescent="0.3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</row>
  </sheetData>
  <mergeCells count="30">
    <mergeCell ref="A1:K3"/>
    <mergeCell ref="A7:D7"/>
    <mergeCell ref="E7:G7"/>
    <mergeCell ref="J7:K7"/>
    <mergeCell ref="H9:I9"/>
    <mergeCell ref="J9:K9"/>
    <mergeCell ref="A23:B23"/>
    <mergeCell ref="A22:B22"/>
    <mergeCell ref="A11:C11"/>
    <mergeCell ref="D11:G11"/>
    <mergeCell ref="J11:K11"/>
    <mergeCell ref="D13:E13"/>
    <mergeCell ref="H13:I13"/>
    <mergeCell ref="H15:I15"/>
    <mergeCell ref="A17:E18"/>
    <mergeCell ref="G17:I17"/>
    <mergeCell ref="A19:B19"/>
    <mergeCell ref="A20:B20"/>
    <mergeCell ref="A21:B21"/>
    <mergeCell ref="A34:B34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</mergeCells>
  <dataValidations count="2">
    <dataValidation type="list" allowBlank="1" showInputMessage="1" showErrorMessage="1" sqref="E7" xr:uid="{CD5190BE-965E-4F95-A9A5-FBDD3EE14DE7}">
      <formula1>secteur</formula1>
    </dataValidation>
    <dataValidation type="list" allowBlank="1" showInputMessage="1" showErrorMessage="1" sqref="J7:K7" xr:uid="{24BDBE45-E139-44EC-931F-40304715364E}">
      <formula1>mois_bon2</formula1>
    </dataValidation>
  </dataValidations>
  <pageMargins left="0.7" right="0.7" top="0.75" bottom="0.75" header="0.3" footer="0.3"/>
  <pageSetup paperSize="9" scale="65" orientation="landscape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60BD-8773-4A7C-BB54-7D8FF97BC193}">
  <sheetPr codeName="Feuil35">
    <tabColor rgb="FF7030A0"/>
  </sheetPr>
  <dimension ref="A1:M393"/>
  <sheetViews>
    <sheetView showGridLines="0" topLeftCell="A13" workbookViewId="0">
      <selection activeCell="H50" activeCellId="1" sqref="F54 H50"/>
    </sheetView>
  </sheetViews>
  <sheetFormatPr baseColWidth="10" defaultRowHeight="17.5" x14ac:dyDescent="0.35"/>
  <cols>
    <col min="1" max="1" width="10.90625" style="8"/>
    <col min="2" max="2" width="11.81640625" style="8" customWidth="1"/>
    <col min="3" max="3" width="14.1796875" style="8" customWidth="1"/>
    <col min="4" max="5" width="10.90625" style="8"/>
    <col min="6" max="6" width="3.54296875" style="8" customWidth="1"/>
    <col min="7" max="8" width="10.90625" style="8"/>
    <col min="9" max="9" width="14.453125" style="8" customWidth="1"/>
    <col min="10" max="10" width="10.90625" style="8"/>
    <col min="11" max="11" width="15.26953125" style="8" bestFit="1" customWidth="1"/>
    <col min="12" max="13" width="10.90625" style="8"/>
  </cols>
  <sheetData>
    <row r="1" spans="1:13" ht="7.5" customHeight="1" x14ac:dyDescent="0.35">
      <c r="A1" s="269" t="s">
        <v>50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</row>
    <row r="2" spans="1:13" ht="13.5" customHeight="1" x14ac:dyDescent="0.35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</row>
    <row r="3" spans="1:13" ht="15" hidden="1" customHeight="1" x14ac:dyDescent="0.35">
      <c r="A3" s="269"/>
      <c r="B3" s="269"/>
      <c r="C3" s="269"/>
      <c r="D3" s="269"/>
      <c r="E3" s="269"/>
      <c r="F3" s="269"/>
      <c r="G3" s="269"/>
      <c r="H3" s="269"/>
      <c r="I3" s="269"/>
      <c r="J3" s="269"/>
      <c r="K3" s="269"/>
    </row>
    <row r="4" spans="1:13" ht="5.25" customHeight="1" x14ac:dyDescent="0.35"/>
    <row r="5" spans="1:13" ht="13.5" customHeight="1" x14ac:dyDescent="0.35">
      <c r="A5" s="34" t="s">
        <v>52</v>
      </c>
    </row>
    <row r="6" spans="1:13" ht="5.25" customHeight="1" thickBot="1" x14ac:dyDescent="0.4">
      <c r="A6" s="34"/>
    </row>
    <row r="7" spans="1:13" s="23" customFormat="1" ht="16.5" thickTop="1" thickBot="1" x14ac:dyDescent="0.4">
      <c r="A7" s="270" t="s">
        <v>44</v>
      </c>
      <c r="B7" s="270"/>
      <c r="C7" s="270"/>
      <c r="D7" s="270"/>
      <c r="E7" s="271" t="s">
        <v>29</v>
      </c>
      <c r="F7" s="272"/>
      <c r="G7" s="273"/>
      <c r="I7" s="36" t="s">
        <v>46</v>
      </c>
      <c r="J7" s="274" t="s">
        <v>241</v>
      </c>
      <c r="K7" s="275"/>
      <c r="M7" s="28"/>
    </row>
    <row r="8" spans="1:13" ht="5.25" customHeight="1" thickTop="1" thickBot="1" x14ac:dyDescent="0.4"/>
    <row r="9" spans="1:13" ht="18.5" thickTop="1" thickBot="1" x14ac:dyDescent="0.4">
      <c r="H9" s="267" t="s">
        <v>53</v>
      </c>
      <c r="I9" s="268"/>
      <c r="J9" s="276">
        <v>46213</v>
      </c>
      <c r="K9" s="277"/>
    </row>
    <row r="10" spans="1:13" ht="18.5" thickTop="1" thickBot="1" x14ac:dyDescent="0.4">
      <c r="J10" s="45"/>
      <c r="K10" s="37"/>
    </row>
    <row r="11" spans="1:13" s="3" customFormat="1" ht="16.5" thickTop="1" thickBot="1" x14ac:dyDescent="0.4">
      <c r="A11" s="270" t="s">
        <v>45</v>
      </c>
      <c r="B11" s="270"/>
      <c r="C11" s="270"/>
      <c r="D11" s="271" t="s">
        <v>77</v>
      </c>
      <c r="E11" s="272"/>
      <c r="F11" s="272"/>
      <c r="G11" s="273"/>
      <c r="H11" s="23"/>
      <c r="I11" s="31" t="s">
        <v>47</v>
      </c>
      <c r="J11" s="271"/>
      <c r="K11" s="273"/>
      <c r="L11" s="23"/>
      <c r="M11" s="23"/>
    </row>
    <row r="12" spans="1:13" s="4" customFormat="1" ht="16.5" thickTop="1" thickBot="1" x14ac:dyDescent="0.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s="25" customFormat="1" ht="16.5" thickTop="1" thickBot="1" x14ac:dyDescent="0.4">
      <c r="A13" s="52" t="s">
        <v>76</v>
      </c>
      <c r="B13" s="46"/>
      <c r="C13" s="35">
        <v>4000000</v>
      </c>
      <c r="D13" s="267" t="s">
        <v>49</v>
      </c>
      <c r="E13" s="267"/>
      <c r="F13" s="32">
        <v>10</v>
      </c>
      <c r="G13" s="30" t="s">
        <v>48</v>
      </c>
      <c r="H13" s="278" t="s">
        <v>57</v>
      </c>
      <c r="I13" s="279"/>
      <c r="J13" s="33">
        <f>IF(C13&lt;1000000,F13*1.5%,F13%)</f>
        <v>0.1</v>
      </c>
      <c r="K13" s="24"/>
      <c r="L13" s="24"/>
      <c r="M13" s="24"/>
    </row>
    <row r="14" spans="1:13" s="4" customFormat="1" ht="16.5" thickTop="1" thickBot="1" x14ac:dyDescent="0.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s="3" customFormat="1" ht="16.5" thickTop="1" thickBot="1" x14ac:dyDescent="0.4">
      <c r="A15" s="23"/>
      <c r="B15" s="23"/>
      <c r="C15" s="23"/>
      <c r="D15" s="23"/>
      <c r="E15" s="23"/>
      <c r="F15" s="23"/>
      <c r="G15" s="23"/>
      <c r="H15" s="267" t="s">
        <v>26</v>
      </c>
      <c r="I15" s="268"/>
      <c r="J15" s="27">
        <f>C13*J13</f>
        <v>400000</v>
      </c>
      <c r="K15" s="23"/>
      <c r="L15" s="23"/>
      <c r="M15" s="23"/>
    </row>
    <row r="16" spans="1:13" s="4" customFormat="1" ht="16.5" thickTop="1" thickBot="1" x14ac:dyDescent="0.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s="4" customFormat="1" ht="18.75" customHeight="1" thickTop="1" thickBot="1" x14ac:dyDescent="0.4">
      <c r="A17" s="280" t="s">
        <v>51</v>
      </c>
      <c r="B17" s="280"/>
      <c r="C17" s="280"/>
      <c r="D17" s="280"/>
      <c r="E17" s="280"/>
      <c r="F17" s="15"/>
      <c r="G17" s="282" t="s">
        <v>73</v>
      </c>
      <c r="H17" s="282"/>
      <c r="I17" s="283"/>
      <c r="J17" s="51">
        <f>C13+J15</f>
        <v>4400000</v>
      </c>
      <c r="K17" s="15"/>
      <c r="L17" s="15"/>
      <c r="M17" s="15"/>
    </row>
    <row r="18" spans="1:13" s="4" customFormat="1" ht="13.5" customHeight="1" thickTop="1" thickBot="1" x14ac:dyDescent="0.4">
      <c r="A18" s="281"/>
      <c r="B18" s="281"/>
      <c r="C18" s="281"/>
      <c r="D18" s="281"/>
      <c r="E18" s="281"/>
      <c r="F18" s="15"/>
      <c r="G18" s="15"/>
      <c r="H18" s="15"/>
      <c r="I18" s="15"/>
      <c r="J18" s="15"/>
      <c r="K18" s="15"/>
      <c r="L18" s="15"/>
      <c r="M18" s="15"/>
    </row>
    <row r="19" spans="1:13" s="4" customFormat="1" ht="42.75" customHeight="1" thickTop="1" thickBot="1" x14ac:dyDescent="0.45">
      <c r="A19" s="284" t="s">
        <v>196</v>
      </c>
      <c r="B19" s="285"/>
      <c r="C19" s="38" t="s">
        <v>54</v>
      </c>
      <c r="D19" s="39" t="s">
        <v>55</v>
      </c>
      <c r="E19" s="40" t="s">
        <v>56</v>
      </c>
      <c r="F19" s="15"/>
      <c r="G19" s="26"/>
      <c r="H19" s="15"/>
      <c r="I19" s="15"/>
      <c r="J19" s="15"/>
      <c r="K19" s="15"/>
      <c r="L19" s="15"/>
      <c r="M19" s="15"/>
    </row>
    <row r="20" spans="1:13" s="4" customFormat="1" ht="16" thickBot="1" x14ac:dyDescent="0.4">
      <c r="A20" s="286">
        <v>45870</v>
      </c>
      <c r="B20" s="287"/>
      <c r="C20" s="41"/>
      <c r="D20" s="44"/>
      <c r="E20" s="43">
        <f t="shared" ref="E20:E31" si="0">C20-D20</f>
        <v>0</v>
      </c>
      <c r="F20" s="15"/>
      <c r="G20" s="15"/>
      <c r="H20" s="15"/>
      <c r="I20" s="15"/>
      <c r="J20" s="15"/>
      <c r="K20" s="15"/>
      <c r="L20" s="15"/>
      <c r="M20" s="15"/>
    </row>
    <row r="21" spans="1:13" s="4" customFormat="1" ht="16" thickBot="1" x14ac:dyDescent="0.4">
      <c r="A21" s="286">
        <v>45901</v>
      </c>
      <c r="B21" s="287"/>
      <c r="C21" s="41"/>
      <c r="D21" s="44"/>
      <c r="E21" s="43">
        <f t="shared" si="0"/>
        <v>0</v>
      </c>
      <c r="F21" s="15"/>
      <c r="G21" s="15"/>
      <c r="H21" s="15"/>
      <c r="I21" s="15"/>
      <c r="J21" s="15"/>
      <c r="K21" s="15"/>
      <c r="L21" s="15"/>
      <c r="M21" s="15"/>
    </row>
    <row r="22" spans="1:13" s="4" customFormat="1" ht="16" thickBot="1" x14ac:dyDescent="0.4">
      <c r="A22" s="286">
        <v>45931</v>
      </c>
      <c r="B22" s="287"/>
      <c r="C22" s="41">
        <f t="shared" ref="C22:C31" si="1">J$17/F$13</f>
        <v>440000</v>
      </c>
      <c r="D22" s="44"/>
      <c r="E22" s="43">
        <f t="shared" si="0"/>
        <v>440000</v>
      </c>
      <c r="F22" s="15"/>
      <c r="G22" s="15"/>
      <c r="H22" s="15"/>
      <c r="I22" s="15"/>
      <c r="J22" s="15"/>
      <c r="K22" s="15"/>
      <c r="L22" s="15"/>
      <c r="M22" s="15"/>
    </row>
    <row r="23" spans="1:13" s="4" customFormat="1" ht="16" thickBot="1" x14ac:dyDescent="0.4">
      <c r="A23" s="286">
        <v>45962</v>
      </c>
      <c r="B23" s="287"/>
      <c r="C23" s="41">
        <f t="shared" si="1"/>
        <v>440000</v>
      </c>
      <c r="D23" s="44"/>
      <c r="E23" s="43">
        <f t="shared" si="0"/>
        <v>440000</v>
      </c>
      <c r="F23" s="15"/>
      <c r="G23" s="15"/>
      <c r="H23" s="15"/>
      <c r="I23" s="15"/>
      <c r="J23" s="15"/>
      <c r="K23" s="15"/>
      <c r="L23" s="15"/>
      <c r="M23" s="15"/>
    </row>
    <row r="24" spans="1:13" s="4" customFormat="1" ht="16" thickBot="1" x14ac:dyDescent="0.4">
      <c r="A24" s="286">
        <v>45992</v>
      </c>
      <c r="B24" s="287"/>
      <c r="C24" s="41">
        <f t="shared" si="1"/>
        <v>440000</v>
      </c>
      <c r="D24" s="44"/>
      <c r="E24" s="43">
        <f t="shared" si="0"/>
        <v>440000</v>
      </c>
      <c r="F24" s="15"/>
      <c r="G24" s="15"/>
      <c r="H24" s="15"/>
      <c r="I24" s="15"/>
      <c r="J24" s="15"/>
      <c r="K24" s="15"/>
      <c r="L24" s="15"/>
      <c r="M24" s="15"/>
    </row>
    <row r="25" spans="1:13" s="4" customFormat="1" ht="16" thickBot="1" x14ac:dyDescent="0.4">
      <c r="A25" s="286">
        <v>46023</v>
      </c>
      <c r="B25" s="287"/>
      <c r="C25" s="41">
        <f t="shared" si="1"/>
        <v>440000</v>
      </c>
      <c r="D25" s="44"/>
      <c r="E25" s="43">
        <f t="shared" si="0"/>
        <v>440000</v>
      </c>
      <c r="F25" s="15"/>
      <c r="G25" s="15"/>
      <c r="H25" s="15"/>
      <c r="I25" s="15"/>
      <c r="J25" s="15"/>
      <c r="K25" s="15"/>
      <c r="L25" s="15"/>
      <c r="M25" s="15"/>
    </row>
    <row r="26" spans="1:13" s="4" customFormat="1" ht="16" thickBot="1" x14ac:dyDescent="0.4">
      <c r="A26" s="286">
        <v>46054</v>
      </c>
      <c r="B26" s="287"/>
      <c r="C26" s="41">
        <f t="shared" si="1"/>
        <v>440000</v>
      </c>
      <c r="D26" s="44"/>
      <c r="E26" s="43">
        <f t="shared" si="0"/>
        <v>440000</v>
      </c>
      <c r="F26" s="15"/>
      <c r="G26" s="15"/>
      <c r="H26" s="15"/>
      <c r="I26" s="15"/>
      <c r="J26" s="15"/>
      <c r="K26" s="15"/>
      <c r="L26" s="15"/>
      <c r="M26" s="15"/>
    </row>
    <row r="27" spans="1:13" s="4" customFormat="1" ht="16" thickBot="1" x14ac:dyDescent="0.4">
      <c r="A27" s="286">
        <v>46082</v>
      </c>
      <c r="B27" s="287"/>
      <c r="C27" s="41">
        <f t="shared" si="1"/>
        <v>440000</v>
      </c>
      <c r="D27" s="44"/>
      <c r="E27" s="43">
        <f t="shared" si="0"/>
        <v>440000</v>
      </c>
      <c r="F27" s="15"/>
      <c r="G27" s="15"/>
      <c r="H27" s="15"/>
      <c r="I27" s="15"/>
      <c r="J27" s="15"/>
      <c r="K27" s="15"/>
      <c r="L27" s="15"/>
      <c r="M27" s="15"/>
    </row>
    <row r="28" spans="1:13" s="4" customFormat="1" ht="16" thickBot="1" x14ac:dyDescent="0.4">
      <c r="A28" s="286">
        <v>46113</v>
      </c>
      <c r="B28" s="287"/>
      <c r="C28" s="41">
        <f t="shared" si="1"/>
        <v>440000</v>
      </c>
      <c r="D28" s="44"/>
      <c r="E28" s="43">
        <f t="shared" si="0"/>
        <v>440000</v>
      </c>
      <c r="F28" s="15"/>
      <c r="G28" s="15"/>
      <c r="H28" s="15"/>
      <c r="I28" s="15"/>
      <c r="J28" s="15"/>
      <c r="K28" s="15"/>
      <c r="L28" s="15"/>
      <c r="M28" s="15"/>
    </row>
    <row r="29" spans="1:13" s="4" customFormat="1" ht="16" thickBot="1" x14ac:dyDescent="0.4">
      <c r="A29" s="286">
        <v>46143</v>
      </c>
      <c r="B29" s="287"/>
      <c r="C29" s="41">
        <f t="shared" si="1"/>
        <v>440000</v>
      </c>
      <c r="D29" s="44"/>
      <c r="E29" s="43">
        <f t="shared" si="0"/>
        <v>440000</v>
      </c>
      <c r="F29" s="15"/>
      <c r="G29" s="15"/>
      <c r="H29" s="15"/>
      <c r="I29" s="15"/>
      <c r="J29" s="15"/>
      <c r="K29" s="15"/>
      <c r="L29" s="15"/>
      <c r="M29" s="15"/>
    </row>
    <row r="30" spans="1:13" s="4" customFormat="1" ht="16" thickBot="1" x14ac:dyDescent="0.4">
      <c r="A30" s="286">
        <v>46174</v>
      </c>
      <c r="B30" s="287"/>
      <c r="C30" s="41">
        <f t="shared" si="1"/>
        <v>440000</v>
      </c>
      <c r="D30" s="44"/>
      <c r="E30" s="43">
        <f t="shared" si="0"/>
        <v>440000</v>
      </c>
      <c r="F30" s="15"/>
      <c r="G30" s="15"/>
      <c r="H30" s="15"/>
      <c r="I30" s="15"/>
      <c r="J30" s="15"/>
      <c r="K30" s="15"/>
      <c r="L30" s="15"/>
      <c r="M30" s="15"/>
    </row>
    <row r="31" spans="1:13" s="4" customFormat="1" ht="16" thickBot="1" x14ac:dyDescent="0.4">
      <c r="A31" s="286">
        <v>46204</v>
      </c>
      <c r="B31" s="287"/>
      <c r="C31" s="41">
        <f t="shared" si="1"/>
        <v>440000</v>
      </c>
      <c r="D31" s="44"/>
      <c r="E31" s="43">
        <f t="shared" si="0"/>
        <v>440000</v>
      </c>
      <c r="F31" s="15"/>
      <c r="G31" s="15"/>
      <c r="H31" s="15"/>
      <c r="I31" s="15"/>
      <c r="J31" s="15"/>
      <c r="K31" s="15"/>
      <c r="L31" s="15"/>
      <c r="M31" s="15"/>
    </row>
    <row r="32" spans="1:13" s="3" customFormat="1" ht="20.25" customHeight="1" thickBot="1" x14ac:dyDescent="0.4">
      <c r="A32" s="288" t="s">
        <v>43</v>
      </c>
      <c r="B32" s="289"/>
      <c r="C32" s="29">
        <f>SUM(C20:C31)</f>
        <v>4400000</v>
      </c>
      <c r="D32" s="29">
        <f>SUM(D20:D31)</f>
        <v>0</v>
      </c>
      <c r="E32" s="29">
        <f>SUM(E20:E31)</f>
        <v>4400000</v>
      </c>
      <c r="F32" s="23"/>
      <c r="G32" s="23"/>
      <c r="H32" s="23"/>
      <c r="I32" s="23"/>
      <c r="J32" s="23"/>
      <c r="K32" s="23"/>
      <c r="L32" s="23"/>
      <c r="M32" s="23"/>
    </row>
    <row r="33" spans="1:13" s="4" customFormat="1" ht="16" thickTop="1" x14ac:dyDescent="0.3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13" s="4" customFormat="1" ht="15.5" x14ac:dyDescent="0.3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1:13" s="4" customFormat="1" ht="15.5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 s="4" customFormat="1" ht="15.5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s="4" customFormat="1" ht="15.5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s="4" customFormat="1" ht="15.5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s="4" customFormat="1" ht="15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s="4" customFormat="1" ht="15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s="4" customFormat="1" ht="15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s="4" customFormat="1" ht="15.5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 s="4" customFormat="1" ht="15.5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s="4" customFormat="1" ht="15.5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s="4" customFormat="1" ht="15.5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s="4" customFormat="1" ht="15.5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s="4" customFormat="1" ht="15.5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s="4" customFormat="1" ht="15.5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s="4" customFormat="1" ht="15.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s="4" customFormat="1" ht="15.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s="4" customFormat="1" ht="15.5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s="4" customFormat="1" ht="15.5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s="4" customFormat="1" ht="15.5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s="4" customFormat="1" ht="15.5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s="4" customFormat="1" ht="15.5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 s="4" customFormat="1" ht="15.5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s="4" customFormat="1" ht="15.5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 s="4" customFormat="1" ht="15.5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s="4" customFormat="1" ht="15.5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s="4" customFormat="1" ht="15.5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s="4" customFormat="1" ht="15.5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 s="4" customFormat="1" ht="15.5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s="4" customFormat="1" ht="15.5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 s="4" customFormat="1" ht="15.5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s="4" customFormat="1" ht="15.5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s="4" customFormat="1" ht="15.5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s="4" customFormat="1" ht="15.5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s="4" customFormat="1" ht="15.5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s="4" customFormat="1" ht="15.5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s="4" customFormat="1" ht="15.5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s="4" customFormat="1" ht="15.5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s="4" customFormat="1" ht="15.5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s="4" customFormat="1" ht="15.5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s="4" customFormat="1" ht="15.5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 s="4" customFormat="1" ht="15.5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s="4" customFormat="1" ht="15.5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s="4" customFormat="1" ht="15.5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 s="4" customFormat="1" ht="15.5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s="4" customFormat="1" ht="15.5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s="4" customFormat="1" ht="15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s="4" customFormat="1" ht="15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s="4" customFormat="1" ht="15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 s="4" customFormat="1" ht="15.5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s="4" customFormat="1" ht="15.5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1:13" s="4" customFormat="1" ht="15.5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1:13" s="4" customFormat="1" ht="15.5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 s="4" customFormat="1" ht="15.5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 s="4" customFormat="1" ht="15.5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s="4" customFormat="1" ht="15.5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 s="4" customFormat="1" ht="15.5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 s="4" customFormat="1" ht="15.5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 s="4" customFormat="1" ht="15.5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 s="4" customFormat="1" ht="15.5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1:13" s="4" customFormat="1" ht="15.5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s="4" customFormat="1" ht="15.5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 s="4" customFormat="1" ht="15.5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s="4" customFormat="1" ht="15.5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s="4" customFormat="1" ht="15.5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1:13" s="4" customFormat="1" ht="15.5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 s="4" customFormat="1" ht="15.5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s="4" customFormat="1" ht="15.5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1:13" s="4" customFormat="1" ht="15.5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s="4" customFormat="1" ht="15.5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s="4" customFormat="1" ht="15.5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1:13" s="4" customFormat="1" ht="15.5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1:13" s="4" customFormat="1" ht="15.5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1:13" s="4" customFormat="1" ht="15.5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 s="4" customFormat="1" ht="15.5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1:13" s="4" customFormat="1" ht="15.5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s="4" customFormat="1" ht="15.5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1:13" s="4" customFormat="1" ht="15.5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 s="4" customFormat="1" ht="15.5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1:13" s="4" customFormat="1" ht="15.5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 s="4" customFormat="1" ht="15.5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 s="4" customFormat="1" ht="15.5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 s="4" customFormat="1" ht="15.5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 s="4" customFormat="1" ht="15.5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 s="4" customFormat="1" ht="15.5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 s="4" customFormat="1" ht="15.5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 s="4" customFormat="1" ht="15.5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 s="4" customFormat="1" ht="15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1:13" s="4" customFormat="1" ht="15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1:13" s="4" customFormat="1" ht="15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1:13" s="4" customFormat="1" ht="15.5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1:13" s="4" customFormat="1" ht="15.5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1:13" s="4" customFormat="1" ht="15.5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 s="4" customFormat="1" ht="15.5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1:13" s="4" customFormat="1" ht="15.5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s="4" customFormat="1" ht="15.5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3" s="4" customFormat="1" ht="15.5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1:13" s="4" customFormat="1" ht="15.5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 s="4" customFormat="1" ht="15.5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 s="4" customFormat="1" ht="15.5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 s="4" customFormat="1" ht="15.5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 s="4" customFormat="1" ht="15.5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 s="4" customFormat="1" ht="15.5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1:13" s="4" customFormat="1" ht="15.5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1:13" s="4" customFormat="1" ht="15.5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1:13" s="4" customFormat="1" ht="15.5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 s="4" customFormat="1" ht="15.5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1:13" s="4" customFormat="1" ht="15.5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 s="4" customFormat="1" ht="15.5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 s="4" customFormat="1" ht="15.5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1:13" s="4" customFormat="1" ht="15.5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1:13" s="4" customFormat="1" ht="15.5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 s="4" customFormat="1" ht="15.5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1:13" s="4" customFormat="1" ht="15.5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 s="4" customFormat="1" ht="15.5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1:13" s="4" customFormat="1" ht="15.5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1:13" s="4" customFormat="1" ht="15.5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 s="4" customFormat="1" ht="15.5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 s="4" customFormat="1" ht="15.5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s="4" customFormat="1" ht="15.5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 s="4" customFormat="1" ht="15.5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1:13" s="4" customFormat="1" ht="15.5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 s="4" customFormat="1" ht="15.5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spans="1:13" s="4" customFormat="1" ht="15.5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spans="1:13" s="4" customFormat="1" ht="15.5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spans="1:13" s="4" customFormat="1" ht="15.5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1:13" s="4" customFormat="1" ht="15.5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1:13" s="4" customFormat="1" ht="15.5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1:13" s="4" customFormat="1" ht="15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1:13" s="4" customFormat="1" ht="15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1:13" s="4" customFormat="1" ht="15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spans="1:13" s="4" customFormat="1" ht="15.5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1:13" s="4" customFormat="1" ht="15.5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1:13" s="4" customFormat="1" ht="15.5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spans="1:13" s="4" customFormat="1" ht="15.5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spans="1:13" s="4" customFormat="1" ht="15.5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spans="1:13" s="4" customFormat="1" ht="15.5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spans="1:13" s="4" customFormat="1" ht="15.5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spans="1:13" s="4" customFormat="1" ht="15.5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spans="1:13" s="4" customFormat="1" ht="15.5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spans="1:13" s="4" customFormat="1" ht="15.5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spans="1:13" s="4" customFormat="1" ht="15.5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spans="1:13" s="4" customFormat="1" ht="15.5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spans="1:13" s="4" customFormat="1" ht="15.5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1:13" s="4" customFormat="1" ht="15.5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spans="1:13" s="4" customFormat="1" ht="15.5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1:13" s="4" customFormat="1" ht="15.5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spans="1:13" s="4" customFormat="1" ht="15.5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1:13" s="4" customFormat="1" ht="15.5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spans="1:13" s="4" customFormat="1" ht="15.5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1:13" s="4" customFormat="1" ht="15.5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spans="1:13" s="4" customFormat="1" ht="15.5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spans="1:13" s="4" customFormat="1" ht="15.5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spans="1:13" s="4" customFormat="1" ht="15.5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1:13" s="4" customFormat="1" ht="15.5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spans="1:13" s="4" customFormat="1" ht="15.5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1:13" s="4" customFormat="1" ht="15.5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spans="1:13" s="4" customFormat="1" ht="15.5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spans="1:13" s="4" customFormat="1" ht="15.5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spans="1:13" s="4" customFormat="1" ht="15.5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spans="1:13" s="4" customFormat="1" ht="15.5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spans="1:13" s="4" customFormat="1" ht="15.5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1:13" s="4" customFormat="1" ht="15.5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spans="1:13" s="4" customFormat="1" ht="15.5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spans="1:13" s="4" customFormat="1" ht="15.5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1:13" s="4" customFormat="1" ht="15.5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1:13" s="4" customFormat="1" ht="15.5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1:13" s="4" customFormat="1" ht="15.5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spans="1:13" s="4" customFormat="1" ht="15.5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spans="1:13" s="4" customFormat="1" ht="15.5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  <row r="204" spans="1:13" s="4" customFormat="1" ht="15.5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</row>
    <row r="205" spans="1:13" s="4" customFormat="1" ht="15.5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</row>
    <row r="206" spans="1:13" s="4" customFormat="1" ht="15.5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1:13" s="4" customFormat="1" ht="15.5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spans="1:13" s="4" customFormat="1" ht="15.5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1:13" s="4" customFormat="1" ht="15.5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</row>
    <row r="210" spans="1:13" s="4" customFormat="1" ht="15.5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</row>
    <row r="211" spans="1:13" s="4" customFormat="1" ht="15.5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</row>
    <row r="212" spans="1:13" s="4" customFormat="1" ht="15.5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spans="1:13" s="4" customFormat="1" ht="15.5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</row>
    <row r="214" spans="1:13" s="4" customFormat="1" ht="15.5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spans="1:13" s="4" customFormat="1" ht="15.5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spans="1:13" s="4" customFormat="1" ht="15.5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spans="1:13" s="4" customFormat="1" ht="15.5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spans="1:13" s="4" customFormat="1" ht="15.5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spans="1:13" s="4" customFormat="1" ht="15.5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spans="1:13" s="4" customFormat="1" ht="15.5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spans="1:13" s="4" customFormat="1" ht="15.5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spans="1:13" s="4" customFormat="1" ht="15.5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spans="1:13" s="4" customFormat="1" ht="15.5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spans="1:13" s="4" customFormat="1" ht="15.5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5" spans="1:13" s="4" customFormat="1" ht="15.5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spans="1:13" s="4" customFormat="1" ht="15.5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27" spans="1:13" s="4" customFormat="1" ht="15.5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spans="1:13" s="4" customFormat="1" ht="15.5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spans="1:13" s="4" customFormat="1" ht="15.5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spans="1:13" s="4" customFormat="1" ht="15.5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</row>
    <row r="231" spans="1:13" s="4" customFormat="1" ht="15.5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</row>
    <row r="232" spans="1:13" s="4" customFormat="1" ht="15.5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</row>
    <row r="233" spans="1:13" s="4" customFormat="1" ht="15.5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</row>
    <row r="234" spans="1:13" s="4" customFormat="1" ht="15.5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spans="1:13" s="4" customFormat="1" ht="15.5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</row>
    <row r="236" spans="1:13" s="4" customFormat="1" ht="15.5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spans="1:13" s="4" customFormat="1" ht="15.5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</row>
    <row r="238" spans="1:13" s="4" customFormat="1" ht="15.5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spans="1:13" s="4" customFormat="1" ht="15.5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</row>
    <row r="240" spans="1:13" s="4" customFormat="1" ht="15.5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spans="1:13" s="4" customFormat="1" ht="15.5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</row>
    <row r="242" spans="1:13" s="4" customFormat="1" ht="15.5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3" spans="1:13" s="4" customFormat="1" ht="15.5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</row>
    <row r="244" spans="1:13" s="4" customFormat="1" ht="15.5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1:13" s="4" customFormat="1" ht="15.5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spans="1:13" s="4" customFormat="1" ht="15.5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spans="1:13" s="4" customFormat="1" ht="15.5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spans="1:13" s="4" customFormat="1" ht="15.5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spans="1:13" s="4" customFormat="1" ht="15.5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spans="1:13" s="4" customFormat="1" ht="15.5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</row>
    <row r="251" spans="1:13" s="4" customFormat="1" ht="15.5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spans="1:13" s="4" customFormat="1" ht="15.5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spans="1:13" s="4" customFormat="1" ht="15.5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</row>
    <row r="254" spans="1:13" s="4" customFormat="1" ht="15.5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spans="1:13" s="4" customFormat="1" ht="15.5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</row>
    <row r="256" spans="1:13" s="4" customFormat="1" ht="15.5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</row>
    <row r="257" spans="1:13" s="4" customFormat="1" ht="15.5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spans="1:13" s="4" customFormat="1" ht="15.5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</row>
    <row r="259" spans="1:13" s="4" customFormat="1" ht="15.5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spans="1:13" s="4" customFormat="1" ht="15.5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spans="1:13" s="4" customFormat="1" ht="15.5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spans="1:13" s="4" customFormat="1" ht="15.5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spans="1:13" s="4" customFormat="1" ht="15.5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spans="1:13" s="4" customFormat="1" ht="15.5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spans="1:13" s="4" customFormat="1" ht="15.5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spans="1:13" s="4" customFormat="1" ht="15.5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spans="1:13" s="4" customFormat="1" ht="15.5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</row>
    <row r="268" spans="1:13" s="4" customFormat="1" ht="15.5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spans="1:13" s="4" customFormat="1" ht="15.5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</row>
    <row r="270" spans="1:13" s="4" customFormat="1" ht="15.5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</row>
    <row r="271" spans="1:13" s="4" customFormat="1" ht="15.5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</row>
    <row r="272" spans="1:13" s="4" customFormat="1" ht="15.5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spans="1:13" s="4" customFormat="1" ht="15.5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spans="1:13" s="4" customFormat="1" ht="15.5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</row>
    <row r="275" spans="1:13" s="4" customFormat="1" ht="15.5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</row>
    <row r="276" spans="1:13" s="4" customFormat="1" ht="15.5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spans="1:13" s="4" customFormat="1" ht="15.5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 spans="1:13" s="4" customFormat="1" ht="15.5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 spans="1:13" s="4" customFormat="1" ht="15.5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 spans="1:13" s="4" customFormat="1" ht="15.5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spans="1:13" s="4" customFormat="1" ht="15.5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 spans="1:13" s="4" customFormat="1" ht="15.5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spans="1:13" s="4" customFormat="1" ht="15.5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spans="1:13" s="4" customFormat="1" ht="15.5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spans="1:13" s="4" customFormat="1" ht="15.5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spans="1:13" s="4" customFormat="1" ht="15.5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 spans="1:13" s="4" customFormat="1" ht="15.5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 spans="1:13" s="4" customFormat="1" ht="15.5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 spans="1:13" s="4" customFormat="1" ht="15.5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spans="1:13" s="4" customFormat="1" ht="15.5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 spans="1:13" s="4" customFormat="1" ht="15.5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 spans="1:13" s="4" customFormat="1" ht="15.5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 spans="1:13" s="4" customFormat="1" ht="15.5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spans="1:13" s="4" customFormat="1" ht="15.5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 spans="1:13" s="4" customFormat="1" ht="15.5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spans="1:13" s="4" customFormat="1" ht="15.5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 spans="1:13" s="4" customFormat="1" ht="15.5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spans="1:13" s="4" customFormat="1" ht="15.5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 spans="1:13" s="4" customFormat="1" ht="15.5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 spans="1:13" s="4" customFormat="1" ht="15.5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 spans="1:13" s="4" customFormat="1" ht="15.5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spans="1:13" s="4" customFormat="1" ht="15.5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spans="1:13" s="4" customFormat="1" ht="15.5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spans="1:13" s="4" customFormat="1" ht="15.5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 spans="1:13" s="4" customFormat="1" ht="15.5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 spans="1:13" s="4" customFormat="1" ht="15.5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 spans="1:13" s="4" customFormat="1" ht="15.5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 spans="1:13" s="4" customFormat="1" ht="15.5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 spans="1:13" s="4" customFormat="1" ht="15.5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spans="1:13" s="4" customFormat="1" ht="15.5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 spans="1:13" s="4" customFormat="1" ht="15.5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 spans="1:13" s="4" customFormat="1" ht="15.5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 spans="1:13" s="4" customFormat="1" ht="15.5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 spans="1:13" s="4" customFormat="1" ht="15.5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spans="1:13" s="4" customFormat="1" ht="15.5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 spans="1:13" s="4" customFormat="1" ht="15.5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 spans="1:13" s="4" customFormat="1" ht="15.5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 spans="1:13" s="4" customFormat="1" ht="15.5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 spans="1:13" s="4" customFormat="1" ht="15.5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 spans="1:13" s="4" customFormat="1" ht="15.5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spans="1:13" s="4" customFormat="1" ht="15.5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spans="1:13" s="4" customFormat="1" ht="15.5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spans="1:13" s="4" customFormat="1" ht="15.5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 spans="1:13" s="4" customFormat="1" ht="15.5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 spans="1:13" s="4" customFormat="1" ht="15.5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spans="1:13" s="4" customFormat="1" ht="15.5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 spans="1:13" s="4" customFormat="1" ht="15.5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 spans="1:13" s="4" customFormat="1" ht="15.5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spans="1:13" s="4" customFormat="1" ht="15.5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 spans="1:13" s="4" customFormat="1" ht="15.5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 spans="1:13" s="4" customFormat="1" ht="15.5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 spans="1:13" s="4" customFormat="1" ht="15.5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spans="1:13" s="4" customFormat="1" ht="15.5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 spans="1:13" s="4" customFormat="1" ht="15.5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spans="1:13" s="4" customFormat="1" ht="15.5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 spans="1:13" s="4" customFormat="1" ht="15.5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spans="1:13" s="4" customFormat="1" ht="15.5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 spans="1:13" s="4" customFormat="1" ht="15.5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 spans="1:13" s="4" customFormat="1" ht="15.5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spans="1:13" s="4" customFormat="1" ht="15.5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spans="1:13" s="4" customFormat="1" ht="15.5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spans="1:13" s="4" customFormat="1" ht="15.5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spans="1:13" s="4" customFormat="1" ht="15.5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 spans="1:13" s="4" customFormat="1" ht="15.5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 spans="1:13" s="4" customFormat="1" ht="15.5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spans="1:13" s="4" customFormat="1" ht="15.5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 spans="1:13" s="4" customFormat="1" ht="15.5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 spans="1:13" s="4" customFormat="1" ht="15.5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 spans="1:13" s="4" customFormat="1" ht="15.5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 spans="1:13" s="4" customFormat="1" ht="15.5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spans="1:13" s="4" customFormat="1" ht="15.5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 spans="1:13" s="4" customFormat="1" ht="15.5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 spans="1:13" s="4" customFormat="1" ht="15.5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 spans="1:13" s="4" customFormat="1" ht="15.5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 spans="1:13" s="4" customFormat="1" ht="15.5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 spans="1:13" s="4" customFormat="1" ht="15.5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 spans="1:13" s="4" customFormat="1" ht="15.5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 spans="1:13" s="4" customFormat="1" ht="15.5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spans="1:13" s="4" customFormat="1" ht="15.5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spans="1:13" s="4" customFormat="1" ht="15.5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spans="1:13" s="4" customFormat="1" ht="15.5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 spans="1:13" s="4" customFormat="1" ht="15.5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spans="1:13" s="4" customFormat="1" ht="15.5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 spans="1:13" s="4" customFormat="1" ht="15.5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 spans="1:13" s="4" customFormat="1" ht="15.5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 spans="1:13" s="4" customFormat="1" ht="15.5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 spans="1:13" s="4" customFormat="1" ht="15.5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 spans="1:13" s="4" customFormat="1" ht="15.5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 spans="1:13" s="4" customFormat="1" ht="15.5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 spans="1:13" s="4" customFormat="1" ht="15.5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spans="1:13" s="4" customFormat="1" ht="15.5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 spans="1:13" s="4" customFormat="1" ht="15.5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 spans="1:13" s="4" customFormat="1" ht="15.5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spans="1:13" s="4" customFormat="1" ht="15.5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spans="1:13" s="4" customFormat="1" ht="15.5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spans="1:13" s="4" customFormat="1" ht="15.5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 spans="1:13" s="4" customFormat="1" ht="15.5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spans="1:13" s="4" customFormat="1" ht="15.5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 spans="1:13" s="4" customFormat="1" ht="15.5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 spans="1:13" s="4" customFormat="1" ht="15.5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 spans="1:13" s="4" customFormat="1" ht="15.5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 spans="1:13" s="4" customFormat="1" ht="15.5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 spans="1:13" s="4" customFormat="1" ht="15.5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spans="1:13" s="4" customFormat="1" ht="15.5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 spans="1:13" s="4" customFormat="1" ht="15.5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 spans="1:13" s="4" customFormat="1" ht="15.5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  <row r="387" spans="1:13" s="4" customFormat="1" ht="15.5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</row>
    <row r="388" spans="1:13" s="4" customFormat="1" ht="15.5" x14ac:dyDescent="0.3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</row>
    <row r="389" spans="1:13" s="4" customFormat="1" ht="15.5" x14ac:dyDescent="0.3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</row>
    <row r="390" spans="1:13" s="4" customFormat="1" ht="15.5" x14ac:dyDescent="0.3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</row>
    <row r="391" spans="1:13" s="4" customFormat="1" ht="15.5" x14ac:dyDescent="0.3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</row>
    <row r="392" spans="1:13" s="4" customFormat="1" ht="15.5" x14ac:dyDescent="0.3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</row>
    <row r="393" spans="1:13" s="4" customFormat="1" ht="15.5" x14ac:dyDescent="0.3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</row>
  </sheetData>
  <mergeCells count="28">
    <mergeCell ref="J11:K11"/>
    <mergeCell ref="D13:E13"/>
    <mergeCell ref="H13:I13"/>
    <mergeCell ref="H15:I15"/>
    <mergeCell ref="A1:K3"/>
    <mergeCell ref="A7:D7"/>
    <mergeCell ref="E7:G7"/>
    <mergeCell ref="J7:K7"/>
    <mergeCell ref="H9:I9"/>
    <mergeCell ref="J9:K9"/>
    <mergeCell ref="A17:E18"/>
    <mergeCell ref="G17:I17"/>
    <mergeCell ref="A19:B19"/>
    <mergeCell ref="A20:B20"/>
    <mergeCell ref="A11:C11"/>
    <mergeCell ref="D11:G11"/>
    <mergeCell ref="A21:B21"/>
    <mergeCell ref="A22:B22"/>
    <mergeCell ref="A23:B23"/>
    <mergeCell ref="A24:B24"/>
    <mergeCell ref="A25:B25"/>
    <mergeCell ref="A31:B31"/>
    <mergeCell ref="A32:B32"/>
    <mergeCell ref="A26:B26"/>
    <mergeCell ref="A27:B27"/>
    <mergeCell ref="A28:B28"/>
    <mergeCell ref="A29:B29"/>
    <mergeCell ref="A30:B30"/>
  </mergeCells>
  <dataValidations count="2">
    <dataValidation type="list" allowBlank="1" showInputMessage="1" showErrorMessage="1" sqref="J7:K7" xr:uid="{FDBEE978-A43E-4F59-AA56-B740E3BE02E4}">
      <formula1>mois_bon2</formula1>
    </dataValidation>
    <dataValidation type="list" allowBlank="1" showInputMessage="1" showErrorMessage="1" sqref="E7" xr:uid="{08400F89-DD5C-4EAD-AA50-54B0912F0794}">
      <formula1>secteur</formula1>
    </dataValidation>
  </dataValidations>
  <pageMargins left="0.7" right="0.7" top="0.75" bottom="0.75" header="0.3" footer="0.3"/>
  <pageSetup paperSize="9" scale="65" orientation="landscape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34CE1-D48B-4521-AACC-485E20F14765}">
  <sheetPr codeName="Feuil36">
    <tabColor rgb="FF7030A0"/>
  </sheetPr>
  <dimension ref="A1:M393"/>
  <sheetViews>
    <sheetView showGridLines="0" workbookViewId="0">
      <selection activeCell="H50" activeCellId="1" sqref="F54 H50"/>
    </sheetView>
  </sheetViews>
  <sheetFormatPr baseColWidth="10" defaultRowHeight="17.5" x14ac:dyDescent="0.35"/>
  <cols>
    <col min="1" max="1" width="10.90625" style="8"/>
    <col min="2" max="2" width="11.81640625" style="8" customWidth="1"/>
    <col min="3" max="3" width="14.1796875" style="8" customWidth="1"/>
    <col min="4" max="5" width="10.90625" style="8"/>
    <col min="6" max="6" width="3.54296875" style="8" customWidth="1"/>
    <col min="7" max="8" width="10.90625" style="8"/>
    <col min="9" max="9" width="14.453125" style="8" customWidth="1"/>
    <col min="10" max="10" width="10.90625" style="8"/>
    <col min="11" max="11" width="15.26953125" style="8" bestFit="1" customWidth="1"/>
    <col min="12" max="13" width="10.90625" style="8"/>
  </cols>
  <sheetData>
    <row r="1" spans="1:13" ht="7.5" customHeight="1" x14ac:dyDescent="0.35">
      <c r="A1" s="269" t="s">
        <v>50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</row>
    <row r="2" spans="1:13" ht="13.5" customHeight="1" x14ac:dyDescent="0.35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</row>
    <row r="3" spans="1:13" ht="15" hidden="1" customHeight="1" x14ac:dyDescent="0.35">
      <c r="A3" s="269"/>
      <c r="B3" s="269"/>
      <c r="C3" s="269"/>
      <c r="D3" s="269"/>
      <c r="E3" s="269"/>
      <c r="F3" s="269"/>
      <c r="G3" s="269"/>
      <c r="H3" s="269"/>
      <c r="I3" s="269"/>
      <c r="J3" s="269"/>
      <c r="K3" s="269"/>
    </row>
    <row r="4" spans="1:13" ht="5.25" customHeight="1" x14ac:dyDescent="0.35"/>
    <row r="5" spans="1:13" ht="13.5" customHeight="1" x14ac:dyDescent="0.35">
      <c r="A5" s="34" t="s">
        <v>52</v>
      </c>
    </row>
    <row r="6" spans="1:13" ht="5.25" customHeight="1" thickBot="1" x14ac:dyDescent="0.4">
      <c r="A6" s="34"/>
    </row>
    <row r="7" spans="1:13" s="23" customFormat="1" ht="16.5" thickTop="1" thickBot="1" x14ac:dyDescent="0.4">
      <c r="A7" s="270" t="s">
        <v>44</v>
      </c>
      <c r="B7" s="270"/>
      <c r="C7" s="270"/>
      <c r="D7" s="270"/>
      <c r="E7" s="271" t="s">
        <v>30</v>
      </c>
      <c r="F7" s="272"/>
      <c r="G7" s="273"/>
      <c r="I7" s="36" t="s">
        <v>46</v>
      </c>
      <c r="J7" s="274">
        <v>45870</v>
      </c>
      <c r="K7" s="275"/>
      <c r="M7" s="28"/>
    </row>
    <row r="8" spans="1:13" ht="5.25" customHeight="1" thickTop="1" thickBot="1" x14ac:dyDescent="0.4"/>
    <row r="9" spans="1:13" ht="18.5" thickTop="1" thickBot="1" x14ac:dyDescent="0.4">
      <c r="H9" s="267" t="s">
        <v>53</v>
      </c>
      <c r="I9" s="268"/>
      <c r="J9" s="276">
        <v>46213</v>
      </c>
      <c r="K9" s="277"/>
    </row>
    <row r="10" spans="1:13" ht="18.5" thickTop="1" thickBot="1" x14ac:dyDescent="0.4">
      <c r="J10" s="45"/>
      <c r="K10" s="37"/>
    </row>
    <row r="11" spans="1:13" s="3" customFormat="1" ht="16.5" thickTop="1" thickBot="1" x14ac:dyDescent="0.4">
      <c r="A11" s="270" t="s">
        <v>45</v>
      </c>
      <c r="B11" s="270"/>
      <c r="C11" s="270"/>
      <c r="D11" s="271" t="s">
        <v>70</v>
      </c>
      <c r="E11" s="272"/>
      <c r="F11" s="272"/>
      <c r="G11" s="273"/>
      <c r="H11" s="23"/>
      <c r="I11" s="31" t="s">
        <v>47</v>
      </c>
      <c r="J11" s="271"/>
      <c r="K11" s="273"/>
      <c r="L11" s="23"/>
      <c r="M11" s="23"/>
    </row>
    <row r="12" spans="1:13" s="4" customFormat="1" ht="16.5" thickTop="1" thickBot="1" x14ac:dyDescent="0.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s="25" customFormat="1" ht="16.5" thickTop="1" thickBot="1" x14ac:dyDescent="0.4">
      <c r="A13" s="52" t="s">
        <v>76</v>
      </c>
      <c r="B13" s="46"/>
      <c r="C13" s="35">
        <v>5500000</v>
      </c>
      <c r="D13" s="267" t="s">
        <v>49</v>
      </c>
      <c r="E13" s="267"/>
      <c r="F13" s="32">
        <v>10</v>
      </c>
      <c r="G13" s="30" t="s">
        <v>48</v>
      </c>
      <c r="H13" s="278" t="s">
        <v>57</v>
      </c>
      <c r="I13" s="279"/>
      <c r="J13" s="33">
        <f>IF(C13&lt;1000000,F13*1.5%,F13%)</f>
        <v>0.1</v>
      </c>
      <c r="K13" s="24"/>
      <c r="L13" s="24"/>
      <c r="M13" s="24"/>
    </row>
    <row r="14" spans="1:13" s="4" customFormat="1" ht="16.5" thickTop="1" thickBot="1" x14ac:dyDescent="0.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s="3" customFormat="1" ht="16.5" thickTop="1" thickBot="1" x14ac:dyDescent="0.4">
      <c r="A15" s="23"/>
      <c r="B15" s="23"/>
      <c r="C15" s="23"/>
      <c r="D15" s="23"/>
      <c r="E15" s="23"/>
      <c r="F15" s="23"/>
      <c r="G15" s="23"/>
      <c r="H15" s="267" t="s">
        <v>26</v>
      </c>
      <c r="I15" s="268"/>
      <c r="J15" s="27">
        <f>C13*J13</f>
        <v>550000</v>
      </c>
      <c r="K15" s="23"/>
      <c r="L15" s="23"/>
      <c r="M15" s="23"/>
    </row>
    <row r="16" spans="1:13" s="4" customFormat="1" ht="16.5" thickTop="1" thickBot="1" x14ac:dyDescent="0.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s="4" customFormat="1" ht="18.75" customHeight="1" thickTop="1" thickBot="1" x14ac:dyDescent="0.4">
      <c r="A17" s="280" t="s">
        <v>51</v>
      </c>
      <c r="B17" s="280"/>
      <c r="C17" s="280"/>
      <c r="D17" s="280"/>
      <c r="E17" s="280"/>
      <c r="F17" s="15"/>
      <c r="G17" s="282" t="s">
        <v>73</v>
      </c>
      <c r="H17" s="282"/>
      <c r="I17" s="283"/>
      <c r="J17" s="51">
        <f>C13+J15</f>
        <v>6050000</v>
      </c>
      <c r="K17" s="15"/>
      <c r="L17" s="15"/>
      <c r="M17" s="15"/>
    </row>
    <row r="18" spans="1:13" s="4" customFormat="1" ht="13.5" customHeight="1" thickTop="1" thickBot="1" x14ac:dyDescent="0.4">
      <c r="A18" s="281"/>
      <c r="B18" s="281"/>
      <c r="C18" s="281"/>
      <c r="D18" s="281"/>
      <c r="E18" s="281"/>
      <c r="F18" s="15"/>
      <c r="G18" s="15"/>
      <c r="H18" s="15"/>
      <c r="I18" s="15"/>
      <c r="J18" s="15"/>
      <c r="K18" s="15"/>
      <c r="L18" s="15"/>
      <c r="M18" s="15"/>
    </row>
    <row r="19" spans="1:13" s="4" customFormat="1" ht="42.75" customHeight="1" thickTop="1" thickBot="1" x14ac:dyDescent="0.45">
      <c r="A19" s="284" t="s">
        <v>196</v>
      </c>
      <c r="B19" s="285"/>
      <c r="C19" s="38" t="s">
        <v>54</v>
      </c>
      <c r="D19" s="39" t="s">
        <v>55</v>
      </c>
      <c r="E19" s="40" t="s">
        <v>56</v>
      </c>
      <c r="F19" s="15"/>
      <c r="G19" s="26"/>
      <c r="H19" s="15"/>
      <c r="I19" s="15"/>
      <c r="J19" s="15"/>
      <c r="K19" s="15"/>
      <c r="L19" s="15"/>
      <c r="M19" s="15"/>
    </row>
    <row r="20" spans="1:13" s="4" customFormat="1" ht="16" thickBot="1" x14ac:dyDescent="0.4">
      <c r="A20" s="286">
        <v>45870</v>
      </c>
      <c r="B20" s="287"/>
      <c r="C20" s="41"/>
      <c r="D20" s="42"/>
      <c r="E20" s="43">
        <f>C20-D20</f>
        <v>0</v>
      </c>
      <c r="F20" s="15"/>
      <c r="G20" s="15"/>
      <c r="H20" s="15"/>
      <c r="I20" s="15"/>
      <c r="J20" s="15"/>
      <c r="K20" s="15"/>
      <c r="L20" s="15"/>
      <c r="M20" s="15"/>
    </row>
    <row r="21" spans="1:13" s="4" customFormat="1" ht="16" thickBot="1" x14ac:dyDescent="0.4">
      <c r="A21" s="286">
        <v>45901</v>
      </c>
      <c r="B21" s="287"/>
      <c r="C21" s="41"/>
      <c r="D21" s="44"/>
      <c r="E21" s="43">
        <f t="shared" ref="E21:E31" si="0">C21-D21</f>
        <v>0</v>
      </c>
      <c r="F21" s="15"/>
      <c r="G21" s="15"/>
      <c r="H21" s="15"/>
      <c r="I21" s="15"/>
      <c r="J21" s="15"/>
      <c r="K21" s="15"/>
      <c r="L21" s="15"/>
      <c r="M21" s="15"/>
    </row>
    <row r="22" spans="1:13" s="4" customFormat="1" ht="16" thickBot="1" x14ac:dyDescent="0.4">
      <c r="A22" s="286">
        <v>45931</v>
      </c>
      <c r="B22" s="287"/>
      <c r="C22" s="41">
        <f>J$17/F$13</f>
        <v>605000</v>
      </c>
      <c r="D22" s="44"/>
      <c r="E22" s="43">
        <f t="shared" si="0"/>
        <v>605000</v>
      </c>
      <c r="F22" s="15"/>
      <c r="G22" s="15"/>
      <c r="H22" s="15"/>
      <c r="I22" s="15"/>
      <c r="J22" s="15"/>
      <c r="K22" s="15"/>
      <c r="L22" s="15"/>
      <c r="M22" s="15"/>
    </row>
    <row r="23" spans="1:13" s="4" customFormat="1" ht="16" thickBot="1" x14ac:dyDescent="0.4">
      <c r="A23" s="286">
        <v>45962</v>
      </c>
      <c r="B23" s="287"/>
      <c r="C23" s="41">
        <f t="shared" ref="C23:C31" si="1">J$17/F$13</f>
        <v>605000</v>
      </c>
      <c r="D23" s="44"/>
      <c r="E23" s="43">
        <f t="shared" si="0"/>
        <v>605000</v>
      </c>
      <c r="F23" s="15"/>
      <c r="G23" s="15"/>
      <c r="H23" s="15"/>
      <c r="I23" s="15"/>
      <c r="J23" s="15"/>
      <c r="K23" s="15"/>
      <c r="L23" s="15"/>
      <c r="M23" s="15"/>
    </row>
    <row r="24" spans="1:13" s="4" customFormat="1" ht="16" thickBot="1" x14ac:dyDescent="0.4">
      <c r="A24" s="286">
        <v>45992</v>
      </c>
      <c r="B24" s="287"/>
      <c r="C24" s="41">
        <f t="shared" si="1"/>
        <v>605000</v>
      </c>
      <c r="D24" s="44"/>
      <c r="E24" s="43">
        <f t="shared" si="0"/>
        <v>605000</v>
      </c>
      <c r="F24" s="15"/>
      <c r="G24" s="15"/>
      <c r="H24" s="15"/>
      <c r="I24" s="15"/>
      <c r="J24" s="15"/>
      <c r="K24" s="15"/>
      <c r="L24" s="15"/>
      <c r="M24" s="15"/>
    </row>
    <row r="25" spans="1:13" s="4" customFormat="1" ht="16" thickBot="1" x14ac:dyDescent="0.4">
      <c r="A25" s="286">
        <v>46023</v>
      </c>
      <c r="B25" s="287"/>
      <c r="C25" s="41">
        <f t="shared" si="1"/>
        <v>605000</v>
      </c>
      <c r="D25" s="44"/>
      <c r="E25" s="43">
        <f t="shared" si="0"/>
        <v>605000</v>
      </c>
      <c r="F25" s="15"/>
      <c r="G25" s="15"/>
      <c r="H25" s="15"/>
      <c r="I25" s="15"/>
      <c r="J25" s="15"/>
      <c r="K25" s="15"/>
      <c r="L25" s="15"/>
      <c r="M25" s="15"/>
    </row>
    <row r="26" spans="1:13" s="4" customFormat="1" ht="16" thickBot="1" x14ac:dyDescent="0.4">
      <c r="A26" s="286">
        <v>46054</v>
      </c>
      <c r="B26" s="287"/>
      <c r="C26" s="41">
        <f t="shared" si="1"/>
        <v>605000</v>
      </c>
      <c r="D26" s="44"/>
      <c r="E26" s="43">
        <f t="shared" si="0"/>
        <v>605000</v>
      </c>
      <c r="F26" s="15"/>
      <c r="G26" s="15"/>
      <c r="H26" s="15"/>
      <c r="I26" s="15"/>
      <c r="J26" s="15"/>
      <c r="K26" s="15"/>
      <c r="L26" s="15"/>
      <c r="M26" s="15"/>
    </row>
    <row r="27" spans="1:13" s="4" customFormat="1" ht="16" thickBot="1" x14ac:dyDescent="0.4">
      <c r="A27" s="286">
        <v>46082</v>
      </c>
      <c r="B27" s="287"/>
      <c r="C27" s="41">
        <f t="shared" si="1"/>
        <v>605000</v>
      </c>
      <c r="D27" s="44"/>
      <c r="E27" s="43">
        <f t="shared" si="0"/>
        <v>605000</v>
      </c>
      <c r="F27" s="15"/>
      <c r="G27" s="15"/>
      <c r="H27" s="15"/>
      <c r="I27" s="15"/>
      <c r="J27" s="15"/>
      <c r="K27" s="15"/>
      <c r="L27" s="15"/>
      <c r="M27" s="15"/>
    </row>
    <row r="28" spans="1:13" s="4" customFormat="1" ht="16" thickBot="1" x14ac:dyDescent="0.4">
      <c r="A28" s="286">
        <v>46113</v>
      </c>
      <c r="B28" s="287"/>
      <c r="C28" s="41">
        <f t="shared" si="1"/>
        <v>605000</v>
      </c>
      <c r="D28" s="44"/>
      <c r="E28" s="43">
        <f t="shared" si="0"/>
        <v>605000</v>
      </c>
      <c r="F28" s="15"/>
      <c r="G28" s="15"/>
      <c r="H28" s="15"/>
      <c r="I28" s="15"/>
      <c r="J28" s="15"/>
      <c r="K28" s="15"/>
      <c r="L28" s="15"/>
      <c r="M28" s="15"/>
    </row>
    <row r="29" spans="1:13" s="4" customFormat="1" ht="16" thickBot="1" x14ac:dyDescent="0.4">
      <c r="A29" s="286">
        <v>46143</v>
      </c>
      <c r="B29" s="287"/>
      <c r="C29" s="41">
        <f t="shared" si="1"/>
        <v>605000</v>
      </c>
      <c r="D29" s="44"/>
      <c r="E29" s="43">
        <f t="shared" si="0"/>
        <v>605000</v>
      </c>
      <c r="F29" s="15"/>
      <c r="G29" s="15"/>
      <c r="H29" s="15"/>
      <c r="I29" s="15"/>
      <c r="J29" s="15"/>
      <c r="K29" s="15"/>
      <c r="L29" s="15"/>
      <c r="M29" s="15"/>
    </row>
    <row r="30" spans="1:13" s="4" customFormat="1" ht="16" thickBot="1" x14ac:dyDescent="0.4">
      <c r="A30" s="286">
        <v>46174</v>
      </c>
      <c r="B30" s="287"/>
      <c r="C30" s="41">
        <f t="shared" si="1"/>
        <v>605000</v>
      </c>
      <c r="D30" s="44"/>
      <c r="E30" s="43">
        <f t="shared" si="0"/>
        <v>605000</v>
      </c>
      <c r="F30" s="15"/>
      <c r="G30" s="15"/>
      <c r="H30" s="15"/>
      <c r="I30" s="15"/>
      <c r="J30" s="15"/>
      <c r="K30" s="15"/>
      <c r="L30" s="15"/>
      <c r="M30" s="15"/>
    </row>
    <row r="31" spans="1:13" s="4" customFormat="1" ht="16" thickBot="1" x14ac:dyDescent="0.4">
      <c r="A31" s="286">
        <v>46204</v>
      </c>
      <c r="B31" s="287"/>
      <c r="C31" s="41">
        <f t="shared" si="1"/>
        <v>605000</v>
      </c>
      <c r="D31" s="44"/>
      <c r="E31" s="43">
        <f t="shared" si="0"/>
        <v>605000</v>
      </c>
      <c r="F31" s="15"/>
      <c r="G31" s="15"/>
      <c r="H31" s="15"/>
      <c r="I31" s="15"/>
      <c r="J31" s="15"/>
      <c r="K31" s="15"/>
      <c r="L31" s="15"/>
      <c r="M31" s="15"/>
    </row>
    <row r="32" spans="1:13" s="3" customFormat="1" ht="20.25" customHeight="1" thickBot="1" x14ac:dyDescent="0.4">
      <c r="A32" s="288" t="s">
        <v>43</v>
      </c>
      <c r="B32" s="289"/>
      <c r="C32" s="29">
        <f>SUM(C20:C31)</f>
        <v>6050000</v>
      </c>
      <c r="D32" s="29">
        <f>SUM(D20:D31)</f>
        <v>0</v>
      </c>
      <c r="E32" s="29">
        <f>SUM(E20:E31)</f>
        <v>6050000</v>
      </c>
      <c r="F32" s="23"/>
      <c r="G32" s="23"/>
      <c r="H32" s="23"/>
      <c r="I32" s="23"/>
      <c r="J32" s="23"/>
      <c r="K32" s="23"/>
      <c r="L32" s="23"/>
      <c r="M32" s="23"/>
    </row>
    <row r="33" spans="1:13" s="4" customFormat="1" ht="16" thickTop="1" x14ac:dyDescent="0.3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13" s="4" customFormat="1" ht="15.5" x14ac:dyDescent="0.3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1:13" s="4" customFormat="1" ht="15.5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 s="4" customFormat="1" ht="15.5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s="4" customFormat="1" ht="15.5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s="4" customFormat="1" ht="15.5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s="4" customFormat="1" ht="15.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s="4" customFormat="1" ht="15.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s="4" customFormat="1" ht="15.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s="4" customFormat="1" ht="15.5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 s="4" customFormat="1" ht="15.5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s="4" customFormat="1" ht="15.5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s="4" customFormat="1" ht="15.5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s="4" customFormat="1" ht="15.5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s="4" customFormat="1" ht="15.5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s="4" customFormat="1" ht="15.5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s="4" customFormat="1" ht="15.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s="4" customFormat="1" ht="15.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s="4" customFormat="1" ht="15.5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s="4" customFormat="1" ht="15.5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s="4" customFormat="1" ht="15.5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s="4" customFormat="1" ht="15.5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s="4" customFormat="1" ht="15.5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 s="4" customFormat="1" ht="15.5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s="4" customFormat="1" ht="15.5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 s="4" customFormat="1" ht="15.5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s="4" customFormat="1" ht="15.5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s="4" customFormat="1" ht="15.5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s="4" customFormat="1" ht="15.5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 s="4" customFormat="1" ht="15.5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s="4" customFormat="1" ht="15.5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 s="4" customFormat="1" ht="15.5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s="4" customFormat="1" ht="15.5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s="4" customFormat="1" ht="15.5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s="4" customFormat="1" ht="15.5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s="4" customFormat="1" ht="15.5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s="4" customFormat="1" ht="15.5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s="4" customFormat="1" ht="15.5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s="4" customFormat="1" ht="15.5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s="4" customFormat="1" ht="15.5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s="4" customFormat="1" ht="15.5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s="4" customFormat="1" ht="15.5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 s="4" customFormat="1" ht="15.5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s="4" customFormat="1" ht="15.5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s="4" customFormat="1" ht="15.5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 s="4" customFormat="1" ht="15.5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s="4" customFormat="1" ht="15.5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s="4" customFormat="1" ht="15.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s="4" customFormat="1" ht="15.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s="4" customFormat="1" ht="15.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 s="4" customFormat="1" ht="15.5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s="4" customFormat="1" ht="15.5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1:13" s="4" customFormat="1" ht="15.5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1:13" s="4" customFormat="1" ht="15.5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 s="4" customFormat="1" ht="15.5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 s="4" customFormat="1" ht="15.5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s="4" customFormat="1" ht="15.5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 s="4" customFormat="1" ht="15.5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 s="4" customFormat="1" ht="15.5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 s="4" customFormat="1" ht="15.5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 s="4" customFormat="1" ht="15.5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1:13" s="4" customFormat="1" ht="15.5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s="4" customFormat="1" ht="15.5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 s="4" customFormat="1" ht="15.5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s="4" customFormat="1" ht="15.5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s="4" customFormat="1" ht="15.5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1:13" s="4" customFormat="1" ht="15.5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 s="4" customFormat="1" ht="15.5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s="4" customFormat="1" ht="15.5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1:13" s="4" customFormat="1" ht="15.5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s="4" customFormat="1" ht="15.5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s="4" customFormat="1" ht="15.5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1:13" s="4" customFormat="1" ht="15.5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1:13" s="4" customFormat="1" ht="15.5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1:13" s="4" customFormat="1" ht="15.5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 s="4" customFormat="1" ht="15.5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1:13" s="4" customFormat="1" ht="15.5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s="4" customFormat="1" ht="15.5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1:13" s="4" customFormat="1" ht="15.5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 s="4" customFormat="1" ht="15.5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1:13" s="4" customFormat="1" ht="15.5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 s="4" customFormat="1" ht="15.5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 s="4" customFormat="1" ht="15.5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 s="4" customFormat="1" ht="15.5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 s="4" customFormat="1" ht="15.5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 s="4" customFormat="1" ht="15.5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 s="4" customFormat="1" ht="15.5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 s="4" customFormat="1" ht="15.5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 s="4" customFormat="1" ht="15.5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1:13" s="4" customFormat="1" ht="15.5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1:13" s="4" customFormat="1" ht="15.5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1:13" s="4" customFormat="1" ht="15.5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1:13" s="4" customFormat="1" ht="15.5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1:13" s="4" customFormat="1" ht="15.5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 s="4" customFormat="1" ht="15.5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1:13" s="4" customFormat="1" ht="15.5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s="4" customFormat="1" ht="15.5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3" s="4" customFormat="1" ht="15.5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1:13" s="4" customFormat="1" ht="15.5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 s="4" customFormat="1" ht="15.5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 s="4" customFormat="1" ht="15.5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 s="4" customFormat="1" ht="15.5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 s="4" customFormat="1" ht="15.5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 s="4" customFormat="1" ht="15.5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1:13" s="4" customFormat="1" ht="15.5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1:13" s="4" customFormat="1" ht="15.5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1:13" s="4" customFormat="1" ht="15.5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 s="4" customFormat="1" ht="15.5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1:13" s="4" customFormat="1" ht="15.5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 s="4" customFormat="1" ht="15.5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 s="4" customFormat="1" ht="15.5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1:13" s="4" customFormat="1" ht="15.5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1:13" s="4" customFormat="1" ht="15.5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 s="4" customFormat="1" ht="15.5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1:13" s="4" customFormat="1" ht="15.5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 s="4" customFormat="1" ht="15.5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1:13" s="4" customFormat="1" ht="15.5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1:13" s="4" customFormat="1" ht="15.5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 s="4" customFormat="1" ht="15.5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 s="4" customFormat="1" ht="15.5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s="4" customFormat="1" ht="15.5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 s="4" customFormat="1" ht="15.5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1:13" s="4" customFormat="1" ht="15.5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 s="4" customFormat="1" ht="15.5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spans="1:13" s="4" customFormat="1" ht="15.5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spans="1:13" s="4" customFormat="1" ht="15.5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spans="1:13" s="4" customFormat="1" ht="15.5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1:13" s="4" customFormat="1" ht="15.5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1:13" s="4" customFormat="1" ht="15.5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1:13" s="4" customFormat="1" ht="15.5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1:13" s="4" customFormat="1" ht="15.5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1:13" s="4" customFormat="1" ht="15.5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spans="1:13" s="4" customFormat="1" ht="15.5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1:13" s="4" customFormat="1" ht="15.5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1:13" s="4" customFormat="1" ht="15.5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spans="1:13" s="4" customFormat="1" ht="15.5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spans="1:13" s="4" customFormat="1" ht="15.5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spans="1:13" s="4" customFormat="1" ht="15.5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spans="1:13" s="4" customFormat="1" ht="15.5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spans="1:13" s="4" customFormat="1" ht="15.5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spans="1:13" s="4" customFormat="1" ht="15.5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spans="1:13" s="4" customFormat="1" ht="15.5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spans="1:13" s="4" customFormat="1" ht="15.5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spans="1:13" s="4" customFormat="1" ht="15.5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spans="1:13" s="4" customFormat="1" ht="15.5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1:13" s="4" customFormat="1" ht="15.5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spans="1:13" s="4" customFormat="1" ht="15.5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1:13" s="4" customFormat="1" ht="15.5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spans="1:13" s="4" customFormat="1" ht="15.5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1:13" s="4" customFormat="1" ht="15.5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spans="1:13" s="4" customFormat="1" ht="15.5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1:13" s="4" customFormat="1" ht="15.5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spans="1:13" s="4" customFormat="1" ht="15.5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spans="1:13" s="4" customFormat="1" ht="15.5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spans="1:13" s="4" customFormat="1" ht="15.5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1:13" s="4" customFormat="1" ht="15.5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spans="1:13" s="4" customFormat="1" ht="15.5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1:13" s="4" customFormat="1" ht="15.5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spans="1:13" s="4" customFormat="1" ht="15.5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spans="1:13" s="4" customFormat="1" ht="15.5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spans="1:13" s="4" customFormat="1" ht="15.5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spans="1:13" s="4" customFormat="1" ht="15.5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spans="1:13" s="4" customFormat="1" ht="15.5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1:13" s="4" customFormat="1" ht="15.5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spans="1:13" s="4" customFormat="1" ht="15.5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spans="1:13" s="4" customFormat="1" ht="15.5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1:13" s="4" customFormat="1" ht="15.5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1:13" s="4" customFormat="1" ht="15.5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1:13" s="4" customFormat="1" ht="15.5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spans="1:13" s="4" customFormat="1" ht="15.5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spans="1:13" s="4" customFormat="1" ht="15.5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  <row r="204" spans="1:13" s="4" customFormat="1" ht="15.5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</row>
    <row r="205" spans="1:13" s="4" customFormat="1" ht="15.5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</row>
    <row r="206" spans="1:13" s="4" customFormat="1" ht="15.5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1:13" s="4" customFormat="1" ht="15.5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spans="1:13" s="4" customFormat="1" ht="15.5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1:13" s="4" customFormat="1" ht="15.5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</row>
    <row r="210" spans="1:13" s="4" customFormat="1" ht="15.5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</row>
    <row r="211" spans="1:13" s="4" customFormat="1" ht="15.5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</row>
    <row r="212" spans="1:13" s="4" customFormat="1" ht="15.5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spans="1:13" s="4" customFormat="1" ht="15.5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</row>
    <row r="214" spans="1:13" s="4" customFormat="1" ht="15.5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spans="1:13" s="4" customFormat="1" ht="15.5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spans="1:13" s="4" customFormat="1" ht="15.5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spans="1:13" s="4" customFormat="1" ht="15.5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spans="1:13" s="4" customFormat="1" ht="15.5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spans="1:13" s="4" customFormat="1" ht="15.5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spans="1:13" s="4" customFormat="1" ht="15.5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spans="1:13" s="4" customFormat="1" ht="15.5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spans="1:13" s="4" customFormat="1" ht="15.5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spans="1:13" s="4" customFormat="1" ht="15.5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spans="1:13" s="4" customFormat="1" ht="15.5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5" spans="1:13" s="4" customFormat="1" ht="15.5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spans="1:13" s="4" customFormat="1" ht="15.5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27" spans="1:13" s="4" customFormat="1" ht="15.5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spans="1:13" s="4" customFormat="1" ht="15.5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spans="1:13" s="4" customFormat="1" ht="15.5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spans="1:13" s="4" customFormat="1" ht="15.5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</row>
    <row r="231" spans="1:13" s="4" customFormat="1" ht="15.5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</row>
    <row r="232" spans="1:13" s="4" customFormat="1" ht="15.5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</row>
    <row r="233" spans="1:13" s="4" customFormat="1" ht="15.5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</row>
    <row r="234" spans="1:13" s="4" customFormat="1" ht="15.5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spans="1:13" s="4" customFormat="1" ht="15.5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</row>
    <row r="236" spans="1:13" s="4" customFormat="1" ht="15.5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spans="1:13" s="4" customFormat="1" ht="15.5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</row>
    <row r="238" spans="1:13" s="4" customFormat="1" ht="15.5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spans="1:13" s="4" customFormat="1" ht="15.5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</row>
    <row r="240" spans="1:13" s="4" customFormat="1" ht="15.5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spans="1:13" s="4" customFormat="1" ht="15.5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</row>
    <row r="242" spans="1:13" s="4" customFormat="1" ht="15.5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3" spans="1:13" s="4" customFormat="1" ht="15.5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</row>
    <row r="244" spans="1:13" s="4" customFormat="1" ht="15.5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1:13" s="4" customFormat="1" ht="15.5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spans="1:13" s="4" customFormat="1" ht="15.5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spans="1:13" s="4" customFormat="1" ht="15.5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spans="1:13" s="4" customFormat="1" ht="15.5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spans="1:13" s="4" customFormat="1" ht="15.5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spans="1:13" s="4" customFormat="1" ht="15.5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</row>
    <row r="251" spans="1:13" s="4" customFormat="1" ht="15.5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spans="1:13" s="4" customFormat="1" ht="15.5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spans="1:13" s="4" customFormat="1" ht="15.5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</row>
    <row r="254" spans="1:13" s="4" customFormat="1" ht="15.5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spans="1:13" s="4" customFormat="1" ht="15.5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</row>
    <row r="256" spans="1:13" s="4" customFormat="1" ht="15.5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</row>
    <row r="257" spans="1:13" s="4" customFormat="1" ht="15.5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spans="1:13" s="4" customFormat="1" ht="15.5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</row>
    <row r="259" spans="1:13" s="4" customFormat="1" ht="15.5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spans="1:13" s="4" customFormat="1" ht="15.5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spans="1:13" s="4" customFormat="1" ht="15.5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spans="1:13" s="4" customFormat="1" ht="15.5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spans="1:13" s="4" customFormat="1" ht="15.5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spans="1:13" s="4" customFormat="1" ht="15.5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spans="1:13" s="4" customFormat="1" ht="15.5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spans="1:13" s="4" customFormat="1" ht="15.5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spans="1:13" s="4" customFormat="1" ht="15.5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</row>
    <row r="268" spans="1:13" s="4" customFormat="1" ht="15.5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spans="1:13" s="4" customFormat="1" ht="15.5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</row>
    <row r="270" spans="1:13" s="4" customFormat="1" ht="15.5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</row>
    <row r="271" spans="1:13" s="4" customFormat="1" ht="15.5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</row>
    <row r="272" spans="1:13" s="4" customFormat="1" ht="15.5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spans="1:13" s="4" customFormat="1" ht="15.5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spans="1:13" s="4" customFormat="1" ht="15.5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</row>
    <row r="275" spans="1:13" s="4" customFormat="1" ht="15.5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</row>
    <row r="276" spans="1:13" s="4" customFormat="1" ht="15.5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spans="1:13" s="4" customFormat="1" ht="15.5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 spans="1:13" s="4" customFormat="1" ht="15.5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 spans="1:13" s="4" customFormat="1" ht="15.5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 spans="1:13" s="4" customFormat="1" ht="15.5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spans="1:13" s="4" customFormat="1" ht="15.5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 spans="1:13" s="4" customFormat="1" ht="15.5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spans="1:13" s="4" customFormat="1" ht="15.5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spans="1:13" s="4" customFormat="1" ht="15.5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spans="1:13" s="4" customFormat="1" ht="15.5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spans="1:13" s="4" customFormat="1" ht="15.5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 spans="1:13" s="4" customFormat="1" ht="15.5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 spans="1:13" s="4" customFormat="1" ht="15.5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 spans="1:13" s="4" customFormat="1" ht="15.5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spans="1:13" s="4" customFormat="1" ht="15.5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 spans="1:13" s="4" customFormat="1" ht="15.5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 spans="1:13" s="4" customFormat="1" ht="15.5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 spans="1:13" s="4" customFormat="1" ht="15.5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spans="1:13" s="4" customFormat="1" ht="15.5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 spans="1:13" s="4" customFormat="1" ht="15.5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spans="1:13" s="4" customFormat="1" ht="15.5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 spans="1:13" s="4" customFormat="1" ht="15.5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spans="1:13" s="4" customFormat="1" ht="15.5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 spans="1:13" s="4" customFormat="1" ht="15.5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 spans="1:13" s="4" customFormat="1" ht="15.5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 spans="1:13" s="4" customFormat="1" ht="15.5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spans="1:13" s="4" customFormat="1" ht="15.5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spans="1:13" s="4" customFormat="1" ht="15.5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spans="1:13" s="4" customFormat="1" ht="15.5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 spans="1:13" s="4" customFormat="1" ht="15.5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 spans="1:13" s="4" customFormat="1" ht="15.5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 spans="1:13" s="4" customFormat="1" ht="15.5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 spans="1:13" s="4" customFormat="1" ht="15.5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 spans="1:13" s="4" customFormat="1" ht="15.5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spans="1:13" s="4" customFormat="1" ht="15.5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 spans="1:13" s="4" customFormat="1" ht="15.5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 spans="1:13" s="4" customFormat="1" ht="15.5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 spans="1:13" s="4" customFormat="1" ht="15.5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 spans="1:13" s="4" customFormat="1" ht="15.5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spans="1:13" s="4" customFormat="1" ht="15.5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 spans="1:13" s="4" customFormat="1" ht="15.5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 spans="1:13" s="4" customFormat="1" ht="15.5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 spans="1:13" s="4" customFormat="1" ht="15.5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 spans="1:13" s="4" customFormat="1" ht="15.5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 spans="1:13" s="4" customFormat="1" ht="15.5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spans="1:13" s="4" customFormat="1" ht="15.5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spans="1:13" s="4" customFormat="1" ht="15.5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spans="1:13" s="4" customFormat="1" ht="15.5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 spans="1:13" s="4" customFormat="1" ht="15.5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 spans="1:13" s="4" customFormat="1" ht="15.5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spans="1:13" s="4" customFormat="1" ht="15.5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 spans="1:13" s="4" customFormat="1" ht="15.5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 spans="1:13" s="4" customFormat="1" ht="15.5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spans="1:13" s="4" customFormat="1" ht="15.5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 spans="1:13" s="4" customFormat="1" ht="15.5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 spans="1:13" s="4" customFormat="1" ht="15.5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 spans="1:13" s="4" customFormat="1" ht="15.5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spans="1:13" s="4" customFormat="1" ht="15.5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 spans="1:13" s="4" customFormat="1" ht="15.5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spans="1:13" s="4" customFormat="1" ht="15.5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 spans="1:13" s="4" customFormat="1" ht="15.5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spans="1:13" s="4" customFormat="1" ht="15.5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 spans="1:13" s="4" customFormat="1" ht="15.5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 spans="1:13" s="4" customFormat="1" ht="15.5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spans="1:13" s="4" customFormat="1" ht="15.5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spans="1:13" s="4" customFormat="1" ht="15.5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spans="1:13" s="4" customFormat="1" ht="15.5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spans="1:13" s="4" customFormat="1" ht="15.5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 spans="1:13" s="4" customFormat="1" ht="15.5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 spans="1:13" s="4" customFormat="1" ht="15.5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spans="1:13" s="4" customFormat="1" ht="15.5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 spans="1:13" s="4" customFormat="1" ht="15.5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 spans="1:13" s="4" customFormat="1" ht="15.5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 spans="1:13" s="4" customFormat="1" ht="15.5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 spans="1:13" s="4" customFormat="1" ht="15.5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spans="1:13" s="4" customFormat="1" ht="15.5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 spans="1:13" s="4" customFormat="1" ht="15.5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 spans="1:13" s="4" customFormat="1" ht="15.5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 spans="1:13" s="4" customFormat="1" ht="15.5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 spans="1:13" s="4" customFormat="1" ht="15.5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 spans="1:13" s="4" customFormat="1" ht="15.5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 spans="1:13" s="4" customFormat="1" ht="15.5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 spans="1:13" s="4" customFormat="1" ht="15.5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spans="1:13" s="4" customFormat="1" ht="15.5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spans="1:13" s="4" customFormat="1" ht="15.5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spans="1:13" s="4" customFormat="1" ht="15.5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 spans="1:13" s="4" customFormat="1" ht="15.5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spans="1:13" s="4" customFormat="1" ht="15.5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 spans="1:13" s="4" customFormat="1" ht="15.5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 spans="1:13" s="4" customFormat="1" ht="15.5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 spans="1:13" s="4" customFormat="1" ht="15.5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 spans="1:13" s="4" customFormat="1" ht="15.5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 spans="1:13" s="4" customFormat="1" ht="15.5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 spans="1:13" s="4" customFormat="1" ht="15.5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 spans="1:13" s="4" customFormat="1" ht="15.5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spans="1:13" s="4" customFormat="1" ht="15.5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 spans="1:13" s="4" customFormat="1" ht="15.5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 spans="1:13" s="4" customFormat="1" ht="15.5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spans="1:13" s="4" customFormat="1" ht="15.5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spans="1:13" s="4" customFormat="1" ht="15.5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spans="1:13" s="4" customFormat="1" ht="15.5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 spans="1:13" s="4" customFormat="1" ht="15.5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spans="1:13" s="4" customFormat="1" ht="15.5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 spans="1:13" s="4" customFormat="1" ht="15.5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 spans="1:13" s="4" customFormat="1" ht="15.5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 spans="1:13" s="4" customFormat="1" ht="15.5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 spans="1:13" s="4" customFormat="1" ht="15.5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 spans="1:13" s="4" customFormat="1" ht="15.5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spans="1:13" s="4" customFormat="1" ht="15.5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 spans="1:13" s="4" customFormat="1" ht="15.5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 spans="1:13" s="4" customFormat="1" ht="15.5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  <row r="387" spans="1:13" s="4" customFormat="1" ht="15.5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</row>
    <row r="388" spans="1:13" s="4" customFormat="1" ht="15.5" x14ac:dyDescent="0.3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</row>
    <row r="389" spans="1:13" s="4" customFormat="1" ht="15.5" x14ac:dyDescent="0.3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</row>
    <row r="390" spans="1:13" s="4" customFormat="1" ht="15.5" x14ac:dyDescent="0.3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</row>
    <row r="391" spans="1:13" s="4" customFormat="1" ht="15.5" x14ac:dyDescent="0.3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</row>
    <row r="392" spans="1:13" s="4" customFormat="1" ht="15.5" x14ac:dyDescent="0.3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</row>
    <row r="393" spans="1:13" s="4" customFormat="1" ht="15.5" x14ac:dyDescent="0.3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</row>
  </sheetData>
  <mergeCells count="28">
    <mergeCell ref="A32:B32"/>
    <mergeCell ref="A29:B29"/>
    <mergeCell ref="A30:B30"/>
    <mergeCell ref="A31:B31"/>
    <mergeCell ref="A28:B28"/>
    <mergeCell ref="A25:B25"/>
    <mergeCell ref="A26:B26"/>
    <mergeCell ref="A27:B27"/>
    <mergeCell ref="A17:E18"/>
    <mergeCell ref="G17:I17"/>
    <mergeCell ref="A19:B19"/>
    <mergeCell ref="A20:B20"/>
    <mergeCell ref="A21:B21"/>
    <mergeCell ref="A22:B22"/>
    <mergeCell ref="A23:B23"/>
    <mergeCell ref="A24:B24"/>
    <mergeCell ref="H15:I15"/>
    <mergeCell ref="A1:K3"/>
    <mergeCell ref="A7:D7"/>
    <mergeCell ref="E7:G7"/>
    <mergeCell ref="J7:K7"/>
    <mergeCell ref="H9:I9"/>
    <mergeCell ref="J9:K9"/>
    <mergeCell ref="A11:C11"/>
    <mergeCell ref="D11:G11"/>
    <mergeCell ref="J11:K11"/>
    <mergeCell ref="D13:E13"/>
    <mergeCell ref="H13:I13"/>
  </mergeCells>
  <dataValidations count="2">
    <dataValidation type="list" allowBlank="1" showInputMessage="1" showErrorMessage="1" sqref="E7" xr:uid="{03ECBA65-F345-4FBF-A61B-97C2AB6A9588}">
      <formula1>secteur</formula1>
    </dataValidation>
    <dataValidation type="list" allowBlank="1" showInputMessage="1" showErrorMessage="1" sqref="J7:K7" xr:uid="{714ADFE3-B389-4773-AA3F-78D00CA33196}">
      <formula1>mois_bon2</formula1>
    </dataValidation>
  </dataValidations>
  <pageMargins left="0.7" right="0.7" top="0.75" bottom="0.75" header="0.3" footer="0.3"/>
  <pageSetup paperSize="9" scale="65" orientation="landscape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6EDFF-80A9-4B54-8062-9B32FC9A6D84}">
  <sheetPr codeName="Feuil39"/>
  <dimension ref="A1"/>
  <sheetViews>
    <sheetView workbookViewId="0">
      <selection activeCell="I25" sqref="I25"/>
    </sheetView>
  </sheetViews>
  <sheetFormatPr baseColWidth="10" defaultRowHeight="14.5" x14ac:dyDescent="0.3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F717D-365E-458F-80CD-2B8CC26FCD48}">
  <sheetPr codeName="Feuil40"/>
  <dimension ref="A1:H81"/>
  <sheetViews>
    <sheetView workbookViewId="0">
      <selection activeCell="E1" sqref="E1:E1048576"/>
    </sheetView>
  </sheetViews>
  <sheetFormatPr baseColWidth="10" defaultRowHeight="14.5" x14ac:dyDescent="0.35"/>
  <cols>
    <col min="1" max="1" width="11.26953125" customWidth="1"/>
    <col min="2" max="2" width="12.08984375" customWidth="1"/>
    <col min="3" max="3" width="9.6328125" customWidth="1"/>
    <col min="4" max="4" width="10" customWidth="1"/>
    <col min="5" max="5" width="14.453125" customWidth="1"/>
    <col min="6" max="6" width="15.81640625" customWidth="1"/>
    <col min="7" max="7" width="11.90625" customWidth="1"/>
    <col min="8" max="8" width="6.81640625" customWidth="1"/>
    <col min="9" max="9" width="4.36328125" customWidth="1"/>
    <col min="10" max="10" width="9" customWidth="1"/>
    <col min="11" max="11" width="10.6328125" customWidth="1"/>
    <col min="12" max="12" width="7.54296875" customWidth="1"/>
    <col min="13" max="13" width="5.36328125" customWidth="1"/>
  </cols>
  <sheetData>
    <row r="1" spans="1:8" x14ac:dyDescent="0.35">
      <c r="A1" t="s">
        <v>27</v>
      </c>
      <c r="C1" t="s">
        <v>40</v>
      </c>
      <c r="D1">
        <v>2023</v>
      </c>
      <c r="E1" t="str">
        <f>C1&amp;"-"&amp;D1</f>
        <v>Avr.-2023</v>
      </c>
      <c r="F1" s="1">
        <v>44470</v>
      </c>
    </row>
    <row r="2" spans="1:8" x14ac:dyDescent="0.35">
      <c r="A2" t="s">
        <v>28</v>
      </c>
      <c r="C2" t="s">
        <v>32</v>
      </c>
      <c r="D2">
        <v>2023</v>
      </c>
      <c r="E2" t="str">
        <f t="shared" ref="E2:E3" si="0">C2&amp;"-"&amp;D2</f>
        <v>Mai-2023</v>
      </c>
    </row>
    <row r="3" spans="1:8" x14ac:dyDescent="0.35">
      <c r="A3" t="s">
        <v>29</v>
      </c>
      <c r="C3" t="s">
        <v>33</v>
      </c>
      <c r="D3">
        <v>2023</v>
      </c>
      <c r="E3" t="str">
        <f t="shared" si="0"/>
        <v>Juin-2023</v>
      </c>
    </row>
    <row r="4" spans="1:8" x14ac:dyDescent="0.35">
      <c r="A4" t="s">
        <v>30</v>
      </c>
      <c r="C4" t="s">
        <v>41</v>
      </c>
      <c r="D4">
        <v>2023</v>
      </c>
      <c r="E4" t="str">
        <f>C4&amp;"-"&amp;D4</f>
        <v>Juil.-2023</v>
      </c>
      <c r="H4" t="e">
        <f>re</f>
        <v>#NAME?</v>
      </c>
    </row>
    <row r="5" spans="1:8" x14ac:dyDescent="0.35">
      <c r="C5" t="s">
        <v>34</v>
      </c>
      <c r="D5">
        <v>2023</v>
      </c>
      <c r="E5" t="str">
        <f t="shared" ref="E5:E26" si="1">C5&amp;"-"&amp;D5</f>
        <v>Août-2023</v>
      </c>
    </row>
    <row r="6" spans="1:8" x14ac:dyDescent="0.35">
      <c r="C6" t="s">
        <v>42</v>
      </c>
      <c r="D6">
        <v>2023</v>
      </c>
      <c r="E6" t="str">
        <f t="shared" si="1"/>
        <v>Sept.-2023</v>
      </c>
    </row>
    <row r="7" spans="1:8" x14ac:dyDescent="0.35">
      <c r="C7" t="s">
        <v>35</v>
      </c>
      <c r="D7">
        <v>2023</v>
      </c>
      <c r="E7" t="str">
        <f t="shared" si="1"/>
        <v>Oct.-2023</v>
      </c>
    </row>
    <row r="8" spans="1:8" x14ac:dyDescent="0.35">
      <c r="C8" t="s">
        <v>36</v>
      </c>
      <c r="D8">
        <v>2023</v>
      </c>
      <c r="E8" t="str">
        <f t="shared" si="1"/>
        <v>Nov.-2023</v>
      </c>
    </row>
    <row r="9" spans="1:8" x14ac:dyDescent="0.35">
      <c r="C9" t="s">
        <v>37</v>
      </c>
      <c r="D9">
        <v>2023</v>
      </c>
      <c r="E9" t="str">
        <f t="shared" si="1"/>
        <v>Déc.-2023</v>
      </c>
    </row>
    <row r="10" spans="1:8" x14ac:dyDescent="0.35">
      <c r="C10" t="s">
        <v>38</v>
      </c>
      <c r="D10">
        <v>2024</v>
      </c>
      <c r="E10" t="str">
        <f t="shared" si="1"/>
        <v>Janv.-2024</v>
      </c>
    </row>
    <row r="11" spans="1:8" x14ac:dyDescent="0.35">
      <c r="C11" t="s">
        <v>39</v>
      </c>
      <c r="D11">
        <v>2024</v>
      </c>
      <c r="E11" t="str">
        <f t="shared" si="1"/>
        <v>Févr.-2024</v>
      </c>
    </row>
    <row r="12" spans="1:8" x14ac:dyDescent="0.35">
      <c r="C12" t="s">
        <v>31</v>
      </c>
      <c r="D12">
        <v>2024</v>
      </c>
      <c r="E12" t="str">
        <f t="shared" si="1"/>
        <v>Mars-2024</v>
      </c>
    </row>
    <row r="13" spans="1:8" x14ac:dyDescent="0.35">
      <c r="C13" t="s">
        <v>40</v>
      </c>
      <c r="D13">
        <v>2024</v>
      </c>
      <c r="E13" t="str">
        <f t="shared" si="1"/>
        <v>Avr.-2024</v>
      </c>
      <c r="G13" t="e">
        <f>MATCH(#REF!,Feuil4!E4:E23,0)</f>
        <v>#REF!</v>
      </c>
    </row>
    <row r="14" spans="1:8" x14ac:dyDescent="0.35">
      <c r="C14" t="s">
        <v>32</v>
      </c>
      <c r="D14">
        <v>2024</v>
      </c>
      <c r="E14" t="str">
        <f t="shared" si="1"/>
        <v>Mai-2024</v>
      </c>
    </row>
    <row r="15" spans="1:8" x14ac:dyDescent="0.35">
      <c r="C15" t="s">
        <v>33</v>
      </c>
      <c r="D15">
        <v>2024</v>
      </c>
      <c r="E15" t="str">
        <f t="shared" si="1"/>
        <v>Juin-2024</v>
      </c>
    </row>
    <row r="16" spans="1:8" x14ac:dyDescent="0.35">
      <c r="C16" t="s">
        <v>41</v>
      </c>
      <c r="D16">
        <v>2024</v>
      </c>
      <c r="E16" t="str">
        <f t="shared" si="1"/>
        <v>Juil.-2024</v>
      </c>
      <c r="G16" t="e">
        <f>LOOKUP(#REF!,E4:E23,E4:E23)</f>
        <v>#REF!</v>
      </c>
    </row>
    <row r="17" spans="3:7" x14ac:dyDescent="0.35">
      <c r="C17" t="s">
        <v>34</v>
      </c>
      <c r="D17">
        <v>2024</v>
      </c>
      <c r="E17" t="str">
        <f t="shared" si="1"/>
        <v>Août-2024</v>
      </c>
    </row>
    <row r="18" spans="3:7" x14ac:dyDescent="0.35">
      <c r="C18" t="s">
        <v>42</v>
      </c>
      <c r="D18">
        <v>2024</v>
      </c>
      <c r="E18" t="str">
        <f t="shared" si="1"/>
        <v>Sept.-2024</v>
      </c>
      <c r="G18" t="e">
        <f>LOOKUP(#REF!,E4:E23)</f>
        <v>#REF!</v>
      </c>
    </row>
    <row r="19" spans="3:7" x14ac:dyDescent="0.35">
      <c r="C19" t="s">
        <v>35</v>
      </c>
      <c r="D19">
        <v>2024</v>
      </c>
      <c r="E19" t="str">
        <f t="shared" si="1"/>
        <v>Oct.-2024</v>
      </c>
    </row>
    <row r="20" spans="3:7" x14ac:dyDescent="0.35">
      <c r="C20" t="s">
        <v>36</v>
      </c>
      <c r="D20">
        <v>2024</v>
      </c>
      <c r="E20" t="str">
        <f t="shared" si="1"/>
        <v>Nov.-2024</v>
      </c>
    </row>
    <row r="21" spans="3:7" x14ac:dyDescent="0.35">
      <c r="C21" t="s">
        <v>37</v>
      </c>
      <c r="D21">
        <v>2024</v>
      </c>
      <c r="E21" t="str">
        <f t="shared" si="1"/>
        <v>Déc.-2024</v>
      </c>
    </row>
    <row r="22" spans="3:7" x14ac:dyDescent="0.35">
      <c r="C22" t="s">
        <v>38</v>
      </c>
      <c r="D22">
        <v>2025</v>
      </c>
      <c r="E22" t="str">
        <f t="shared" si="1"/>
        <v>Janv.-2025</v>
      </c>
    </row>
    <row r="23" spans="3:7" x14ac:dyDescent="0.35">
      <c r="C23" t="s">
        <v>39</v>
      </c>
      <c r="D23">
        <v>2025</v>
      </c>
      <c r="E23" t="str">
        <f t="shared" si="1"/>
        <v>Févr.-2025</v>
      </c>
    </row>
    <row r="24" spans="3:7" x14ac:dyDescent="0.35">
      <c r="C24" t="s">
        <v>31</v>
      </c>
      <c r="D24">
        <v>2025</v>
      </c>
      <c r="E24" t="str">
        <f t="shared" si="1"/>
        <v>Mars-2025</v>
      </c>
    </row>
    <row r="25" spans="3:7" x14ac:dyDescent="0.35">
      <c r="C25" t="s">
        <v>40</v>
      </c>
      <c r="D25">
        <v>2025</v>
      </c>
      <c r="E25" t="str">
        <f t="shared" si="1"/>
        <v>Avr.-2025</v>
      </c>
    </row>
    <row r="26" spans="3:7" x14ac:dyDescent="0.35">
      <c r="C26" t="s">
        <v>32</v>
      </c>
      <c r="D26">
        <v>2025</v>
      </c>
      <c r="E26" t="str">
        <f t="shared" si="1"/>
        <v>Mai-2025</v>
      </c>
    </row>
    <row r="27" spans="3:7" x14ac:dyDescent="0.35">
      <c r="C27" t="s">
        <v>33</v>
      </c>
      <c r="D27">
        <v>2025</v>
      </c>
      <c r="E27" t="str">
        <f t="shared" ref="E27:E33" si="2">C27&amp;"-"&amp;D27</f>
        <v>Juin-2025</v>
      </c>
    </row>
    <row r="28" spans="3:7" x14ac:dyDescent="0.35">
      <c r="C28" t="s">
        <v>111</v>
      </c>
      <c r="D28">
        <v>2025</v>
      </c>
      <c r="E28" t="str">
        <f t="shared" si="2"/>
        <v>Juil-2025</v>
      </c>
    </row>
    <row r="29" spans="3:7" x14ac:dyDescent="0.35">
      <c r="C29" t="s">
        <v>34</v>
      </c>
      <c r="D29">
        <v>2025</v>
      </c>
      <c r="E29" t="str">
        <f t="shared" si="2"/>
        <v>Août-2025</v>
      </c>
    </row>
    <row r="30" spans="3:7" x14ac:dyDescent="0.35">
      <c r="C30" t="s">
        <v>112</v>
      </c>
      <c r="D30">
        <v>2025</v>
      </c>
      <c r="E30" t="str">
        <f t="shared" si="2"/>
        <v>Sept-2025</v>
      </c>
    </row>
    <row r="31" spans="3:7" x14ac:dyDescent="0.35">
      <c r="C31" t="s">
        <v>113</v>
      </c>
      <c r="D31">
        <v>2025</v>
      </c>
      <c r="E31" t="str">
        <f t="shared" si="2"/>
        <v>Oct-2025</v>
      </c>
    </row>
    <row r="32" spans="3:7" x14ac:dyDescent="0.35">
      <c r="C32" t="s">
        <v>114</v>
      </c>
      <c r="D32">
        <v>2025</v>
      </c>
      <c r="E32" t="str">
        <f t="shared" si="2"/>
        <v>Nov-2025</v>
      </c>
    </row>
    <row r="33" spans="3:5" x14ac:dyDescent="0.35">
      <c r="C33" t="s">
        <v>115</v>
      </c>
      <c r="D33">
        <v>2025</v>
      </c>
      <c r="E33" t="str">
        <f t="shared" si="2"/>
        <v>Déc-2025</v>
      </c>
    </row>
    <row r="34" spans="3:5" x14ac:dyDescent="0.35">
      <c r="C34" t="s">
        <v>116</v>
      </c>
      <c r="D34">
        <v>2026</v>
      </c>
      <c r="E34" t="str">
        <f t="shared" ref="E34:E81" si="3">C34&amp;"-"&amp;D34</f>
        <v>Janv-2026</v>
      </c>
    </row>
    <row r="35" spans="3:5" x14ac:dyDescent="0.35">
      <c r="C35" t="s">
        <v>239</v>
      </c>
      <c r="D35">
        <v>2026</v>
      </c>
      <c r="E35" t="str">
        <f t="shared" si="3"/>
        <v>Févr-2026</v>
      </c>
    </row>
    <row r="36" spans="3:5" x14ac:dyDescent="0.35">
      <c r="C36" t="s">
        <v>31</v>
      </c>
      <c r="D36">
        <v>2026</v>
      </c>
      <c r="E36" t="str">
        <f t="shared" si="3"/>
        <v>Mars-2026</v>
      </c>
    </row>
    <row r="37" spans="3:5" x14ac:dyDescent="0.35">
      <c r="C37" t="s">
        <v>240</v>
      </c>
      <c r="D37">
        <v>2026</v>
      </c>
      <c r="E37" t="str">
        <f t="shared" si="3"/>
        <v>Avr-2026</v>
      </c>
    </row>
    <row r="38" spans="3:5" x14ac:dyDescent="0.35">
      <c r="C38" t="s">
        <v>32</v>
      </c>
      <c r="D38">
        <v>2026</v>
      </c>
      <c r="E38" t="str">
        <f t="shared" si="3"/>
        <v>Mai-2026</v>
      </c>
    </row>
    <row r="39" spans="3:5" x14ac:dyDescent="0.35">
      <c r="C39" t="s">
        <v>33</v>
      </c>
      <c r="D39">
        <v>2026</v>
      </c>
      <c r="E39" t="str">
        <f t="shared" si="3"/>
        <v>Juin-2026</v>
      </c>
    </row>
    <row r="40" spans="3:5" x14ac:dyDescent="0.35">
      <c r="C40" t="s">
        <v>111</v>
      </c>
      <c r="D40">
        <v>2026</v>
      </c>
      <c r="E40" t="str">
        <f t="shared" si="3"/>
        <v>Juil-2026</v>
      </c>
    </row>
    <row r="41" spans="3:5" x14ac:dyDescent="0.35">
      <c r="C41" t="s">
        <v>34</v>
      </c>
      <c r="D41">
        <v>2026</v>
      </c>
      <c r="E41" t="str">
        <f t="shared" si="3"/>
        <v>Août-2026</v>
      </c>
    </row>
    <row r="42" spans="3:5" x14ac:dyDescent="0.35">
      <c r="C42" t="s">
        <v>112</v>
      </c>
      <c r="D42">
        <v>2026</v>
      </c>
      <c r="E42" t="str">
        <f t="shared" si="3"/>
        <v>Sept-2026</v>
      </c>
    </row>
    <row r="43" spans="3:5" x14ac:dyDescent="0.35">
      <c r="C43" t="s">
        <v>113</v>
      </c>
      <c r="D43">
        <v>2026</v>
      </c>
      <c r="E43" t="str">
        <f t="shared" si="3"/>
        <v>Oct-2026</v>
      </c>
    </row>
    <row r="44" spans="3:5" x14ac:dyDescent="0.35">
      <c r="C44" t="s">
        <v>114</v>
      </c>
      <c r="D44">
        <v>2026</v>
      </c>
      <c r="E44" t="str">
        <f t="shared" si="3"/>
        <v>Nov-2026</v>
      </c>
    </row>
    <row r="45" spans="3:5" x14ac:dyDescent="0.35">
      <c r="C45" t="s">
        <v>115</v>
      </c>
      <c r="D45">
        <v>2026</v>
      </c>
      <c r="E45" t="str">
        <f t="shared" si="3"/>
        <v>Déc-2026</v>
      </c>
    </row>
    <row r="46" spans="3:5" x14ac:dyDescent="0.35">
      <c r="C46" t="s">
        <v>116</v>
      </c>
      <c r="D46">
        <v>2027</v>
      </c>
      <c r="E46" t="str">
        <f t="shared" si="3"/>
        <v>Janv-2027</v>
      </c>
    </row>
    <row r="47" spans="3:5" x14ac:dyDescent="0.35">
      <c r="C47" t="s">
        <v>239</v>
      </c>
      <c r="D47">
        <v>2027</v>
      </c>
      <c r="E47" t="str">
        <f t="shared" si="3"/>
        <v>Févr-2027</v>
      </c>
    </row>
    <row r="48" spans="3:5" x14ac:dyDescent="0.35">
      <c r="C48" t="s">
        <v>31</v>
      </c>
      <c r="D48">
        <v>2027</v>
      </c>
      <c r="E48" t="str">
        <f t="shared" si="3"/>
        <v>Mars-2027</v>
      </c>
    </row>
    <row r="49" spans="3:5" x14ac:dyDescent="0.35">
      <c r="C49" t="s">
        <v>240</v>
      </c>
      <c r="D49">
        <v>2027</v>
      </c>
      <c r="E49" t="str">
        <f t="shared" si="3"/>
        <v>Avr-2027</v>
      </c>
    </row>
    <row r="50" spans="3:5" x14ac:dyDescent="0.35">
      <c r="C50" t="s">
        <v>32</v>
      </c>
      <c r="D50">
        <v>2027</v>
      </c>
      <c r="E50" t="str">
        <f t="shared" si="3"/>
        <v>Mai-2027</v>
      </c>
    </row>
    <row r="51" spans="3:5" x14ac:dyDescent="0.35">
      <c r="C51" t="s">
        <v>33</v>
      </c>
      <c r="D51">
        <v>2027</v>
      </c>
      <c r="E51" t="str">
        <f t="shared" si="3"/>
        <v>Juin-2027</v>
      </c>
    </row>
    <row r="52" spans="3:5" x14ac:dyDescent="0.35">
      <c r="C52" t="s">
        <v>111</v>
      </c>
      <c r="D52">
        <v>2027</v>
      </c>
      <c r="E52" t="str">
        <f t="shared" si="3"/>
        <v>Juil-2027</v>
      </c>
    </row>
    <row r="53" spans="3:5" x14ac:dyDescent="0.35">
      <c r="C53" t="s">
        <v>34</v>
      </c>
      <c r="D53">
        <v>2027</v>
      </c>
      <c r="E53" t="str">
        <f t="shared" si="3"/>
        <v>Août-2027</v>
      </c>
    </row>
    <row r="54" spans="3:5" x14ac:dyDescent="0.35">
      <c r="C54" t="s">
        <v>112</v>
      </c>
      <c r="D54">
        <v>2027</v>
      </c>
      <c r="E54" t="str">
        <f t="shared" si="3"/>
        <v>Sept-2027</v>
      </c>
    </row>
    <row r="55" spans="3:5" x14ac:dyDescent="0.35">
      <c r="C55" t="s">
        <v>113</v>
      </c>
      <c r="D55">
        <v>2027</v>
      </c>
      <c r="E55" t="str">
        <f t="shared" si="3"/>
        <v>Oct-2027</v>
      </c>
    </row>
    <row r="56" spans="3:5" x14ac:dyDescent="0.35">
      <c r="C56" t="s">
        <v>114</v>
      </c>
      <c r="D56">
        <v>2027</v>
      </c>
      <c r="E56" t="str">
        <f t="shared" si="3"/>
        <v>Nov-2027</v>
      </c>
    </row>
    <row r="57" spans="3:5" x14ac:dyDescent="0.35">
      <c r="C57" t="s">
        <v>115</v>
      </c>
      <c r="D57">
        <v>2027</v>
      </c>
      <c r="E57" t="str">
        <f t="shared" si="3"/>
        <v>Déc-2027</v>
      </c>
    </row>
    <row r="58" spans="3:5" x14ac:dyDescent="0.35">
      <c r="C58" t="s">
        <v>116</v>
      </c>
      <c r="D58">
        <v>2028</v>
      </c>
      <c r="E58" t="str">
        <f t="shared" si="3"/>
        <v>Janv-2028</v>
      </c>
    </row>
    <row r="59" spans="3:5" x14ac:dyDescent="0.35">
      <c r="C59" t="s">
        <v>239</v>
      </c>
      <c r="D59">
        <v>2028</v>
      </c>
      <c r="E59" t="str">
        <f t="shared" si="3"/>
        <v>Févr-2028</v>
      </c>
    </row>
    <row r="60" spans="3:5" x14ac:dyDescent="0.35">
      <c r="C60" t="s">
        <v>31</v>
      </c>
      <c r="D60">
        <v>2028</v>
      </c>
      <c r="E60" t="str">
        <f t="shared" si="3"/>
        <v>Mars-2028</v>
      </c>
    </row>
    <row r="61" spans="3:5" x14ac:dyDescent="0.35">
      <c r="C61" t="s">
        <v>240</v>
      </c>
      <c r="D61">
        <v>2028</v>
      </c>
      <c r="E61" t="str">
        <f t="shared" si="3"/>
        <v>Avr-2028</v>
      </c>
    </row>
    <row r="62" spans="3:5" x14ac:dyDescent="0.35">
      <c r="C62" t="s">
        <v>32</v>
      </c>
      <c r="D62">
        <v>2028</v>
      </c>
      <c r="E62" t="str">
        <f t="shared" si="3"/>
        <v>Mai-2028</v>
      </c>
    </row>
    <row r="63" spans="3:5" x14ac:dyDescent="0.35">
      <c r="C63" t="s">
        <v>33</v>
      </c>
      <c r="D63">
        <v>2028</v>
      </c>
      <c r="E63" t="str">
        <f t="shared" si="3"/>
        <v>Juin-2028</v>
      </c>
    </row>
    <row r="64" spans="3:5" x14ac:dyDescent="0.35">
      <c r="C64" t="s">
        <v>111</v>
      </c>
      <c r="D64">
        <v>2028</v>
      </c>
      <c r="E64" t="str">
        <f t="shared" si="3"/>
        <v>Juil-2028</v>
      </c>
    </row>
    <row r="65" spans="3:5" x14ac:dyDescent="0.35">
      <c r="C65" t="s">
        <v>34</v>
      </c>
      <c r="D65">
        <v>2028</v>
      </c>
      <c r="E65" t="str">
        <f t="shared" si="3"/>
        <v>Août-2028</v>
      </c>
    </row>
    <row r="66" spans="3:5" x14ac:dyDescent="0.35">
      <c r="C66" t="s">
        <v>112</v>
      </c>
      <c r="D66">
        <v>2028</v>
      </c>
      <c r="E66" t="str">
        <f t="shared" si="3"/>
        <v>Sept-2028</v>
      </c>
    </row>
    <row r="67" spans="3:5" x14ac:dyDescent="0.35">
      <c r="C67" t="s">
        <v>113</v>
      </c>
      <c r="D67">
        <v>2028</v>
      </c>
      <c r="E67" t="str">
        <f t="shared" si="3"/>
        <v>Oct-2028</v>
      </c>
    </row>
    <row r="68" spans="3:5" x14ac:dyDescent="0.35">
      <c r="C68" t="s">
        <v>114</v>
      </c>
      <c r="D68">
        <v>2028</v>
      </c>
      <c r="E68" t="str">
        <f t="shared" si="3"/>
        <v>Nov-2028</v>
      </c>
    </row>
    <row r="69" spans="3:5" x14ac:dyDescent="0.35">
      <c r="C69" t="s">
        <v>115</v>
      </c>
      <c r="D69">
        <v>2028</v>
      </c>
      <c r="E69" t="str">
        <f t="shared" si="3"/>
        <v>Déc-2028</v>
      </c>
    </row>
    <row r="70" spans="3:5" x14ac:dyDescent="0.35">
      <c r="C70" t="s">
        <v>116</v>
      </c>
      <c r="D70">
        <v>2029</v>
      </c>
      <c r="E70" t="str">
        <f t="shared" si="3"/>
        <v>Janv-2029</v>
      </c>
    </row>
    <row r="71" spans="3:5" x14ac:dyDescent="0.35">
      <c r="C71" t="s">
        <v>239</v>
      </c>
      <c r="D71">
        <v>2029</v>
      </c>
      <c r="E71" t="str">
        <f t="shared" si="3"/>
        <v>Févr-2029</v>
      </c>
    </row>
    <row r="72" spans="3:5" x14ac:dyDescent="0.35">
      <c r="C72" t="s">
        <v>31</v>
      </c>
      <c r="D72">
        <v>2029</v>
      </c>
      <c r="E72" t="str">
        <f t="shared" si="3"/>
        <v>Mars-2029</v>
      </c>
    </row>
    <row r="73" spans="3:5" x14ac:dyDescent="0.35">
      <c r="C73" t="s">
        <v>240</v>
      </c>
      <c r="D73">
        <v>2029</v>
      </c>
      <c r="E73" t="str">
        <f t="shared" si="3"/>
        <v>Avr-2029</v>
      </c>
    </row>
    <row r="74" spans="3:5" x14ac:dyDescent="0.35">
      <c r="C74" t="s">
        <v>32</v>
      </c>
      <c r="D74">
        <v>2029</v>
      </c>
      <c r="E74" t="str">
        <f t="shared" si="3"/>
        <v>Mai-2029</v>
      </c>
    </row>
    <row r="75" spans="3:5" x14ac:dyDescent="0.35">
      <c r="C75" t="s">
        <v>33</v>
      </c>
      <c r="D75">
        <v>2029</v>
      </c>
      <c r="E75" t="str">
        <f t="shared" si="3"/>
        <v>Juin-2029</v>
      </c>
    </row>
    <row r="76" spans="3:5" x14ac:dyDescent="0.35">
      <c r="C76" t="s">
        <v>111</v>
      </c>
      <c r="D76">
        <v>2029</v>
      </c>
      <c r="E76" t="str">
        <f t="shared" si="3"/>
        <v>Juil-2029</v>
      </c>
    </row>
    <row r="77" spans="3:5" x14ac:dyDescent="0.35">
      <c r="C77" t="s">
        <v>34</v>
      </c>
      <c r="D77">
        <v>2029</v>
      </c>
      <c r="E77" t="str">
        <f t="shared" si="3"/>
        <v>Août-2029</v>
      </c>
    </row>
    <row r="78" spans="3:5" x14ac:dyDescent="0.35">
      <c r="C78" t="s">
        <v>112</v>
      </c>
      <c r="D78">
        <v>2029</v>
      </c>
      <c r="E78" t="str">
        <f t="shared" si="3"/>
        <v>Sept-2029</v>
      </c>
    </row>
    <row r="79" spans="3:5" x14ac:dyDescent="0.35">
      <c r="C79" t="s">
        <v>113</v>
      </c>
      <c r="D79">
        <v>2029</v>
      </c>
      <c r="E79" t="str">
        <f t="shared" si="3"/>
        <v>Oct-2029</v>
      </c>
    </row>
    <row r="80" spans="3:5" x14ac:dyDescent="0.35">
      <c r="C80" t="s">
        <v>114</v>
      </c>
      <c r="D80">
        <v>2029</v>
      </c>
      <c r="E80" t="str">
        <f t="shared" si="3"/>
        <v>Nov-2029</v>
      </c>
    </row>
    <row r="81" spans="3:5" x14ac:dyDescent="0.35">
      <c r="C81" t="s">
        <v>115</v>
      </c>
      <c r="D81">
        <v>2029</v>
      </c>
      <c r="E81" t="str">
        <f t="shared" si="3"/>
        <v>Déc-2029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36</vt:i4>
      </vt:variant>
      <vt:variant>
        <vt:lpstr>Plages nommées</vt:lpstr>
      </vt:variant>
      <vt:variant>
        <vt:i4>5</vt:i4>
      </vt:variant>
    </vt:vector>
  </HeadingPairs>
  <TitlesOfParts>
    <vt:vector size="41" baseType="lpstr">
      <vt:lpstr>fond_dispo_rep_interet</vt:lpstr>
      <vt:lpstr>epargne_mensuelle_ancien</vt:lpstr>
      <vt:lpstr>epargne_mensuelle_reelle</vt:lpstr>
      <vt:lpstr>apport_mensuel_calcul</vt:lpstr>
      <vt:lpstr>Feuil5</vt:lpstr>
      <vt:lpstr>epargne_mensuelle</vt:lpstr>
      <vt:lpstr>cumul_epargne</vt:lpstr>
      <vt:lpstr>recouvrement_dette</vt:lpstr>
      <vt:lpstr>recap_prêt</vt:lpstr>
      <vt:lpstr>Synthese_cassation</vt:lpstr>
      <vt:lpstr>Feuil10</vt:lpstr>
      <vt:lpstr>pret</vt:lpstr>
      <vt:lpstr>_interet</vt:lpstr>
      <vt:lpstr>Feuil3</vt:lpstr>
      <vt:lpstr>Feuil2</vt:lpstr>
      <vt:lpstr>Tableau_amortissement_Franklin</vt:lpstr>
      <vt:lpstr>Tableau_amortissement_Sainclair</vt:lpstr>
      <vt:lpstr>Tableau_amortissement_Narcisse</vt:lpstr>
      <vt:lpstr>Tableau_amortissement_Valdese</vt:lpstr>
      <vt:lpstr>Tableau_amortissement_Sammuel</vt:lpstr>
      <vt:lpstr>Tableau_amortissement_Clemence</vt:lpstr>
      <vt:lpstr>Tableau_amortissement_Michel</vt:lpstr>
      <vt:lpstr>Tableau_amortissement_Kelly</vt:lpstr>
      <vt:lpstr>Tableau_amortissement_Dagober</vt:lpstr>
      <vt:lpstr>Tableau_amortissement_Brice</vt:lpstr>
      <vt:lpstr>Tableau_amortissement_Ricard</vt:lpstr>
      <vt:lpstr>Tableau_amortissement_Tony</vt:lpstr>
      <vt:lpstr>Tableau_amortissement_Moise</vt:lpstr>
      <vt:lpstr>Tableau_amortissement_appol</vt:lpstr>
      <vt:lpstr>Tableau_amortissement_Cheval</vt:lpstr>
      <vt:lpstr>Tableau_amortissement_Rodine</vt:lpstr>
      <vt:lpstr>Tableau_amortissement_Fidel</vt:lpstr>
      <vt:lpstr>Tableau_amortissement_Hernandez</vt:lpstr>
      <vt:lpstr>Tableau_amortissement_Jackson</vt:lpstr>
      <vt:lpstr>Feuil1</vt:lpstr>
      <vt:lpstr>Feuil4</vt:lpstr>
      <vt:lpstr>apport_mensuel_calcul!Impression_des_titres</vt:lpstr>
      <vt:lpstr>Synthese_cassation!Impression_des_titres</vt:lpstr>
      <vt:lpstr>mois_bon2</vt:lpstr>
      <vt:lpstr>mois_modif</vt:lpstr>
      <vt:lpstr>secteur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Hernanadez LELE</dc:creator>
  <cp:lastModifiedBy>Hernandez LELE</cp:lastModifiedBy>
  <cp:lastPrinted>2026-01-15T23:15:22Z</cp:lastPrinted>
  <dcterms:created xsi:type="dcterms:W3CDTF">2021-10-13T08:01:25Z</dcterms:created>
  <dcterms:modified xsi:type="dcterms:W3CDTF">2026-02-19T06:04:09Z</dcterms:modified>
</cp:coreProperties>
</file>